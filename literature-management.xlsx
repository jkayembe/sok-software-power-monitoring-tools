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codeName="ThisWorkbook"/>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2001_{20DCD17C-6B36-A94F-BDAE-891B995E3F29}" xr6:coauthVersionLast="47" xr6:coauthVersionMax="47" xr10:uidLastSave="{00000000-0000-0000-0000-000000000000}"/>
  <bookViews>
    <workbookView xWindow="0" yWindow="920" windowWidth="30080" windowHeight="18580" activeTab="4" xr2:uid="{00000000-000D-0000-FFFF-FFFF00000000}"/>
  </bookViews>
  <sheets>
    <sheet name="Tools" sheetId="1" r:id="rId1"/>
    <sheet name="Inclusion Exclusion" sheetId="2" r:id="rId2"/>
    <sheet name="Classification" sheetId="3" r:id="rId3"/>
    <sheet name="Taxonomy" sheetId="4" r:id="rId4"/>
    <sheet name="Taxonomy 2 (Design Space Alone)" sheetId="5" r:id="rId5"/>
  </sheets>
  <definedNames>
    <definedName name="_xlnm.Print_Area" localSheetId="4">'Taxonomy 2 (Design Space Alone)'!$C$6:$AT$24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2" i="5" l="1"/>
  <c r="AS12" i="5"/>
  <c r="AP14" i="5"/>
  <c r="F24" i="5"/>
  <c r="G24" i="5"/>
  <c r="H24" i="5"/>
  <c r="I24" i="5"/>
  <c r="J24" i="5"/>
  <c r="K24" i="5"/>
  <c r="M24" i="5"/>
  <c r="N24" i="5"/>
  <c r="O24" i="5"/>
  <c r="P24" i="5"/>
  <c r="R24" i="5"/>
  <c r="S24" i="5"/>
  <c r="T24" i="5"/>
  <c r="U24" i="5"/>
  <c r="W24" i="5"/>
  <c r="X24" i="5"/>
  <c r="Y24" i="5"/>
  <c r="Z24" i="5"/>
  <c r="AB24" i="5"/>
  <c r="AC24" i="5"/>
  <c r="AD24" i="5"/>
  <c r="AE24" i="5"/>
  <c r="AG24" i="5"/>
  <c r="AH24" i="5"/>
  <c r="AI24" i="5"/>
  <c r="AJ24" i="5"/>
  <c r="AL24" i="5"/>
  <c r="AM24" i="5"/>
  <c r="AN24" i="5"/>
  <c r="AO24" i="5"/>
  <c r="AP24" i="5"/>
  <c r="AR24" i="5"/>
  <c r="AS24" i="5"/>
  <c r="AT24" i="5"/>
  <c r="F23" i="5"/>
  <c r="G23" i="5"/>
  <c r="H23" i="5"/>
  <c r="I23" i="5"/>
  <c r="J23" i="5"/>
  <c r="K23" i="5"/>
  <c r="M23" i="5"/>
  <c r="N23" i="5"/>
  <c r="O23" i="5"/>
  <c r="P23" i="5"/>
  <c r="R23" i="5"/>
  <c r="S23" i="5"/>
  <c r="T23" i="5"/>
  <c r="U23" i="5"/>
  <c r="W23" i="5"/>
  <c r="X23" i="5"/>
  <c r="Y23" i="5"/>
  <c r="Z23" i="5"/>
  <c r="AB23" i="5"/>
  <c r="AC23" i="5"/>
  <c r="AD23" i="5"/>
  <c r="AE23" i="5"/>
  <c r="AG23" i="5"/>
  <c r="AH23" i="5"/>
  <c r="AI23" i="5"/>
  <c r="AJ23" i="5"/>
  <c r="AL23" i="5"/>
  <c r="AM23" i="5"/>
  <c r="AN23" i="5"/>
  <c r="AO23" i="5"/>
  <c r="AP23" i="5"/>
  <c r="AR23" i="5"/>
  <c r="AS23" i="5"/>
  <c r="AT23" i="5"/>
  <c r="F22" i="5"/>
  <c r="G22" i="5"/>
  <c r="H22" i="5"/>
  <c r="I22" i="5"/>
  <c r="J22" i="5"/>
  <c r="K22" i="5"/>
  <c r="M22" i="5"/>
  <c r="N22" i="5"/>
  <c r="O22" i="5"/>
  <c r="P22" i="5"/>
  <c r="R22" i="5"/>
  <c r="S22" i="5"/>
  <c r="T22" i="5"/>
  <c r="U22" i="5"/>
  <c r="W22" i="5"/>
  <c r="X22" i="5"/>
  <c r="Y22" i="5"/>
  <c r="Z22" i="5"/>
  <c r="AB22" i="5"/>
  <c r="AC22" i="5"/>
  <c r="AD22" i="5"/>
  <c r="AE22" i="5"/>
  <c r="AG22" i="5"/>
  <c r="AH22" i="5"/>
  <c r="AI22" i="5"/>
  <c r="AJ22" i="5"/>
  <c r="AL22" i="5"/>
  <c r="AM22" i="5"/>
  <c r="AN22" i="5"/>
  <c r="AO22" i="5"/>
  <c r="AP22" i="5"/>
  <c r="AR22" i="5"/>
  <c r="AS22" i="5"/>
  <c r="AT22" i="5"/>
  <c r="F21" i="5"/>
  <c r="G21" i="5"/>
  <c r="H21" i="5"/>
  <c r="I21" i="5"/>
  <c r="J21" i="5"/>
  <c r="K21" i="5"/>
  <c r="M21" i="5"/>
  <c r="N21" i="5"/>
  <c r="O21" i="5"/>
  <c r="P21" i="5"/>
  <c r="R21" i="5"/>
  <c r="S21" i="5"/>
  <c r="T21" i="5"/>
  <c r="U21" i="5"/>
  <c r="W21" i="5"/>
  <c r="X21" i="5"/>
  <c r="Y21" i="5"/>
  <c r="Z21" i="5"/>
  <c r="AB21" i="5"/>
  <c r="AC21" i="5"/>
  <c r="AD21" i="5"/>
  <c r="AE21" i="5"/>
  <c r="AG21" i="5"/>
  <c r="AH21" i="5"/>
  <c r="AI21" i="5"/>
  <c r="AJ21" i="5"/>
  <c r="AL21" i="5"/>
  <c r="AM21" i="5"/>
  <c r="AN21" i="5"/>
  <c r="AO21" i="5"/>
  <c r="AP21" i="5"/>
  <c r="AR21" i="5"/>
  <c r="AS21" i="5"/>
  <c r="AT21" i="5"/>
  <c r="F19" i="5"/>
  <c r="G19" i="5"/>
  <c r="H19" i="5"/>
  <c r="I19" i="5"/>
  <c r="J19" i="5"/>
  <c r="K19" i="5"/>
  <c r="M19" i="5"/>
  <c r="N19" i="5"/>
  <c r="O19" i="5"/>
  <c r="P19" i="5"/>
  <c r="R19" i="5"/>
  <c r="S19" i="5"/>
  <c r="T19" i="5"/>
  <c r="U19" i="5"/>
  <c r="W19" i="5"/>
  <c r="X19" i="5"/>
  <c r="Y19" i="5"/>
  <c r="Z19" i="5"/>
  <c r="AB19" i="5"/>
  <c r="AC19" i="5"/>
  <c r="AD19" i="5"/>
  <c r="AE19" i="5"/>
  <c r="AG19" i="5"/>
  <c r="AH19" i="5"/>
  <c r="AI19" i="5"/>
  <c r="AJ19" i="5"/>
  <c r="AL19" i="5"/>
  <c r="AM19" i="5"/>
  <c r="AN19" i="5"/>
  <c r="AO19" i="5"/>
  <c r="AP19" i="5"/>
  <c r="AR19" i="5"/>
  <c r="AS19" i="5"/>
  <c r="AT19" i="5"/>
  <c r="F18" i="5"/>
  <c r="G18" i="5"/>
  <c r="H18" i="5"/>
  <c r="I18" i="5"/>
  <c r="J18" i="5"/>
  <c r="K18" i="5"/>
  <c r="M18" i="5"/>
  <c r="N18" i="5"/>
  <c r="O18" i="5"/>
  <c r="P18" i="5"/>
  <c r="R18" i="5"/>
  <c r="S18" i="5"/>
  <c r="T18" i="5"/>
  <c r="U18" i="5"/>
  <c r="W18" i="5"/>
  <c r="X18" i="5"/>
  <c r="Y18" i="5"/>
  <c r="Z18" i="5"/>
  <c r="AB18" i="5"/>
  <c r="AC18" i="5"/>
  <c r="AD18" i="5"/>
  <c r="AE18" i="5"/>
  <c r="AG18" i="5"/>
  <c r="AH18" i="5"/>
  <c r="AI18" i="5"/>
  <c r="AJ18" i="5"/>
  <c r="AL18" i="5"/>
  <c r="AM18" i="5"/>
  <c r="AN18" i="5"/>
  <c r="AO18" i="5"/>
  <c r="AP18" i="5"/>
  <c r="AR18" i="5"/>
  <c r="AS18" i="5"/>
  <c r="AT18" i="5"/>
  <c r="F17" i="5"/>
  <c r="G17" i="5"/>
  <c r="H17" i="5"/>
  <c r="I17" i="5"/>
  <c r="J17" i="5"/>
  <c r="K17" i="5"/>
  <c r="M17" i="5"/>
  <c r="N17" i="5"/>
  <c r="O17" i="5"/>
  <c r="P17" i="5"/>
  <c r="R17" i="5"/>
  <c r="S17" i="5"/>
  <c r="T17" i="5"/>
  <c r="U17" i="5"/>
  <c r="W17" i="5"/>
  <c r="X17" i="5"/>
  <c r="Y17" i="5"/>
  <c r="Z17" i="5"/>
  <c r="AB17" i="5"/>
  <c r="AC17" i="5"/>
  <c r="AD17" i="5"/>
  <c r="AE17" i="5"/>
  <c r="AG17" i="5"/>
  <c r="AH17" i="5"/>
  <c r="AI17" i="5"/>
  <c r="AJ17" i="5"/>
  <c r="AL17" i="5"/>
  <c r="AM17" i="5"/>
  <c r="AN17" i="5"/>
  <c r="AO17" i="5"/>
  <c r="AP17" i="5"/>
  <c r="AR17" i="5"/>
  <c r="AS17" i="5"/>
  <c r="AT17" i="5"/>
  <c r="F16" i="5"/>
  <c r="G16" i="5"/>
  <c r="H16" i="5"/>
  <c r="I16" i="5"/>
  <c r="J16" i="5"/>
  <c r="K16" i="5"/>
  <c r="M16" i="5"/>
  <c r="N16" i="5"/>
  <c r="O16" i="5"/>
  <c r="P16" i="5"/>
  <c r="R16" i="5"/>
  <c r="S16" i="5"/>
  <c r="T16" i="5"/>
  <c r="U16" i="5"/>
  <c r="W16" i="5"/>
  <c r="X16" i="5"/>
  <c r="Y16" i="5"/>
  <c r="Z16" i="5"/>
  <c r="AB16" i="5"/>
  <c r="AC16" i="5"/>
  <c r="AD16" i="5"/>
  <c r="AE16" i="5"/>
  <c r="AG16" i="5"/>
  <c r="AH16" i="5"/>
  <c r="AI16" i="5"/>
  <c r="AJ16" i="5"/>
  <c r="AL16" i="5"/>
  <c r="AM16" i="5"/>
  <c r="AN16" i="5"/>
  <c r="AO16" i="5"/>
  <c r="AP16" i="5"/>
  <c r="AR16" i="5"/>
  <c r="AS16" i="5"/>
  <c r="AT16" i="5"/>
  <c r="F14" i="5"/>
  <c r="G14" i="5"/>
  <c r="H14" i="5"/>
  <c r="I14" i="5"/>
  <c r="J14" i="5"/>
  <c r="K14" i="5"/>
  <c r="M14" i="5"/>
  <c r="N14" i="5"/>
  <c r="O14" i="5"/>
  <c r="P14" i="5"/>
  <c r="R14" i="5"/>
  <c r="S14" i="5"/>
  <c r="T14" i="5"/>
  <c r="U14" i="5"/>
  <c r="W14" i="5"/>
  <c r="X14" i="5"/>
  <c r="Y14" i="5"/>
  <c r="Z14" i="5"/>
  <c r="AB14" i="5"/>
  <c r="AC14" i="5"/>
  <c r="AD14" i="5"/>
  <c r="AE14" i="5"/>
  <c r="AG14" i="5"/>
  <c r="AH14" i="5"/>
  <c r="AI14" i="5"/>
  <c r="AJ14" i="5"/>
  <c r="AL14" i="5"/>
  <c r="AM14" i="5"/>
  <c r="AN14" i="5"/>
  <c r="AO14" i="5"/>
  <c r="AR14" i="5"/>
  <c r="AS14" i="5"/>
  <c r="AT14" i="5"/>
  <c r="F13" i="5"/>
  <c r="G13" i="5"/>
  <c r="H13" i="5"/>
  <c r="I13" i="5"/>
  <c r="J13" i="5"/>
  <c r="K13" i="5"/>
  <c r="M13" i="5"/>
  <c r="N13" i="5"/>
  <c r="O13" i="5"/>
  <c r="P13" i="5"/>
  <c r="R13" i="5"/>
  <c r="S13" i="5"/>
  <c r="T13" i="5"/>
  <c r="U13" i="5"/>
  <c r="W13" i="5"/>
  <c r="X13" i="5"/>
  <c r="Y13" i="5"/>
  <c r="Z13" i="5"/>
  <c r="AB13" i="5"/>
  <c r="AC13" i="5"/>
  <c r="AD13" i="5"/>
  <c r="AE13" i="5"/>
  <c r="AG13" i="5"/>
  <c r="AH13" i="5"/>
  <c r="AI13" i="5"/>
  <c r="AJ13" i="5"/>
  <c r="AL13" i="5"/>
  <c r="AM13" i="5"/>
  <c r="AN13" i="5"/>
  <c r="AO13" i="5"/>
  <c r="AP13" i="5"/>
  <c r="AR13" i="5"/>
  <c r="AS13" i="5"/>
  <c r="AT13" i="5"/>
  <c r="F12" i="5"/>
  <c r="G12" i="5"/>
  <c r="H12" i="5"/>
  <c r="I12" i="5"/>
  <c r="J12" i="5"/>
  <c r="K12" i="5"/>
  <c r="M12" i="5"/>
  <c r="N12" i="5"/>
  <c r="O12" i="5"/>
  <c r="P12" i="5"/>
  <c r="R12" i="5"/>
  <c r="S12" i="5"/>
  <c r="T12" i="5"/>
  <c r="U12" i="5"/>
  <c r="W12" i="5"/>
  <c r="X12" i="5"/>
  <c r="Y12" i="5"/>
  <c r="Z12" i="5"/>
  <c r="AB12" i="5"/>
  <c r="AC12" i="5"/>
  <c r="AD12" i="5"/>
  <c r="AE12" i="5"/>
  <c r="AG12" i="5"/>
  <c r="AH12" i="5"/>
  <c r="AI12" i="5"/>
  <c r="AL12" i="5"/>
  <c r="AM12" i="5"/>
  <c r="AN12" i="5"/>
  <c r="AO12" i="5"/>
  <c r="AP12" i="5"/>
  <c r="AR12" i="5"/>
  <c r="AT12" i="5"/>
  <c r="E12" i="5"/>
  <c r="E13" i="5"/>
  <c r="E14" i="5"/>
  <c r="E16" i="5"/>
  <c r="E17" i="5"/>
  <c r="E18" i="5"/>
  <c r="E19" i="5"/>
  <c r="E21" i="5"/>
  <c r="E22" i="5"/>
  <c r="E23" i="5"/>
  <c r="E24" i="5"/>
  <c r="F11" i="5"/>
  <c r="G11" i="5"/>
  <c r="H11" i="5"/>
  <c r="I11" i="5"/>
  <c r="J11" i="5"/>
  <c r="K11" i="5"/>
  <c r="M11" i="5"/>
  <c r="N11" i="5"/>
  <c r="O11" i="5"/>
  <c r="P11" i="5"/>
  <c r="R11" i="5"/>
  <c r="S11" i="5"/>
  <c r="T11" i="5"/>
  <c r="U11" i="5"/>
  <c r="W11" i="5"/>
  <c r="X11" i="5"/>
  <c r="Y11" i="5"/>
  <c r="Z11" i="5"/>
  <c r="AB11" i="5"/>
  <c r="AC11" i="5"/>
  <c r="AD11" i="5"/>
  <c r="AE11" i="5"/>
  <c r="AG11" i="5"/>
  <c r="AH11" i="5"/>
  <c r="AI11" i="5"/>
  <c r="AJ11" i="5"/>
  <c r="AL11" i="5"/>
  <c r="AM11" i="5"/>
  <c r="AN11" i="5"/>
  <c r="AO11" i="5"/>
  <c r="AP11" i="5"/>
  <c r="AR11" i="5"/>
  <c r="AS11" i="5"/>
  <c r="AT11" i="5"/>
  <c r="E11" i="5"/>
</calcChain>
</file>

<file path=xl/sharedStrings.xml><?xml version="1.0" encoding="utf-8"?>
<sst xmlns="http://schemas.openxmlformats.org/spreadsheetml/2006/main" count="1478" uniqueCount="372">
  <si>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</si>
  <si>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</si>
  <si>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</si>
  <si>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</si>
  <si>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</si>
  <si>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</si>
  <si>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</si>
  <si>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</si>
  <si>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</si>
  <si>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</si>
  <si>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</si>
  <si>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</si>
  <si>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</si>
  <si>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</si>
  <si>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</si>
  <si>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</si>
  <si>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</si>
  <si>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</si>
  <si>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</si>
  <si>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</si>
  <si>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</si>
  <si>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</si>
  <si>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</si>
  <si>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</si>
  <si>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</si>
  <si>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</si>
  <si>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</si>
  <si>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</si>
  <si>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</si>
  <si>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</si>
  <si>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</si>
  <si>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</si>
  <si>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</si>
  <si>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</si>
  <si>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</si>
  <si>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</si>
  <si>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</si>
  <si>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</si>
  <si>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</si>
  <si>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</si>
  <si>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</si>
  <si>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</si>
  <si>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</si>
  <si>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</si>
  <si>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</si>
  <si>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</si>
  <si>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</si>
  <si>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</si>
  <si>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</si>
  <si>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</si>
  <si>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</si>
  <si>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</si>
  <si>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</si>
  <si>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</si>
  <si>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</si>
  <si>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</si>
  <si>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</si>
  <si>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</si>
  <si>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</si>
  <si>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</si>
  <si>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</si>
  <si>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</si>
  <si>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</si>
  <si>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</si>
  <si>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</si>
  <si>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</si>
  <si>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</si>
  <si>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</si>
  <si>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</si>
  <si>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</si>
  <si>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</si>
  <si>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</si>
  <si>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</si>
  <si>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</si>
  <si>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</si>
  <si>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</si>
  <si>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</si>
  <si>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</si>
  <si>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</si>
  <si>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</si>
  <si>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</si>
  <si>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</si>
  <si>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</si>
  <si>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</si>
  <si>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</si>
  <si>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</si>
  <si>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</si>
  <si>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</si>
  <si>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</si>
  <si>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</si>
  <si>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</si>
  <si>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</si>
  <si>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</si>
  <si>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</si>
  <si>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</si>
  <si>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</si>
  <si>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</si>
  <si>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</si>
  <si>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</si>
  <si>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</si>
  <si>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</si>
  <si>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</si>
  <si>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</si>
  <si>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</si>
  <si>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</si>
  <si>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</si>
  <si>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</si>
  <si>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</si>
  <si>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</si>
  <si>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</si>
  <si>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</si>
  <si>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</si>
  <si>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</si>
  <si>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</si>
  <si>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</si>
  <si>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</si>
  <si>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</si>
  <si>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</si>
  <si>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</si>
  <si>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</si>
  <si>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</si>
  <si>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</si>
  <si>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</si>
  <si>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</si>
  <si>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</si>
  <si>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</si>
  <si>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</si>
  <si>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</si>
  <si>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</si>
  <si>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</si>
  <si>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</si>
  <si>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</si>
  <si>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</si>
  <si>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</si>
  <si>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</si>
  <si>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</si>
  <si>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</si>
  <si>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</si>
  <si>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</si>
  <si>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</si>
  <si>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</si>
  <si>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</si>
  <si>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</si>
  <si>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</si>
  <si>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</si>
  <si>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</si>
  <si>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</si>
  <si>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</si>
  <si>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</si>
  <si>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</si>
  <si>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</si>
  <si>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</si>
  <si>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</si>
  <si>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</si>
  <si>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</si>
  <si>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</si>
  <si>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</si>
  <si>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</si>
  <si>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</si>
  <si>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</si>
  <si>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</si>
  <si>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</si>
  <si>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</si>
  <si>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</si>
  <si>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</si>
  <si>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</si>
  <si>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</si>
  <si>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</si>
  <si>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</si>
  <si>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</si>
  <si>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</si>
  <si>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</si>
  <si>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</si>
  <si>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</si>
  <si>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</si>
  <si>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</si>
  <si>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</si>
  <si>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</si>
  <si>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</si>
  <si>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</si>
  <si>
    <t>SmartWatts</t>
  </si>
  <si>
    <t>from Raffin, Guillaume, and Denis Trystram. 2024. ‘Dissecting the Software-Based Measurement of CPU Energy Consumption: A Comparative Analysis’. arXiv:2401.15985. Preprint, arXiv, July 19. https://doi.org/10.48550/arXiv.2401.15985.
Guillaume Fieni, Romain Rouvoy, and Lionel Seinturier. “SmartWatts: self-calibrating software-defined power meter for containers”. en. In: 2020 20th IEEE/ACM International Symposium on Cluster, Cloud and Internet Computing (CCGRID). Melbourne, Australia: IEEE, May 2020, pp. 479–488. ISBN: 978-172816-095-5. DOI: 10 . 1109 / CCGrid49817 . 2020 . 00 45.</t>
  </si>
  <si>
    <t>from Raffin, Guillaume, and Denis Trystram. 2024. ‘Dissecting the Software-Based Measurement of CPU Energy Consumption: A Comparative Analysis’. arXiv:2401.15985. Preprint, arXiv, July 19. https://doi.org/10.48550/arXiv.2401.15985.
Franz Christian Heinrich et al. “Predicting the energyconsumption of MPI applications at scale using only a single node”. In: 2017 IEEE International Conference on Cluster Computing (CLUSTER). Sept. 2017, pp. 92102. DOI: 10.1109/CLUSTER.2017.66.</t>
  </si>
  <si>
    <t>Code-Carbon</t>
  </si>
  <si>
    <t>from  Raffin, Guillaume, and Denis Trystram. 2024. ‘Dissecting the Software-Based Measurement of CPU Energy Consumption: A Comparative Analysis’. arXiv:2401.15985. Preprint, arXiv, July 19. https://doi.org/10.48550/arXiv.2401.15985.
Victor Schmidt et al. “CodeCarbon: estimate and track carbon emissions from machine learning computing”. In: Zenodo (2021).</t>
  </si>
  <si>
    <t>Likwid</t>
  </si>
  <si>
    <t>from   Raffin, Guillaume, and Denis Trystram. 2024. ‘Dissecting the Software-Based Measurement of CPU Energy Consumption: A Comparative Analysis’. arXiv:2401.15985. Preprint, arXiv, July 19. https://doi.org/10.48550/arXiv.2401.15985.
J. Treibig, G. Hager, and G. Wellein. “LIKWID: a lightweight performance-oriented tool suite for x86 multicore environments”. In: Proceedings of PSTI2010, the First International Workshop on Parallel Software Tools and Tool Infrastructures. San Diego CA, 2010.</t>
  </si>
  <si>
    <t>1Hz (Max 28Hz If modified as in (Raffin and Trystram 2024))</t>
  </si>
  <si>
    <t>~Monitoring Cycle of 1s mentioned in (Noureddine et al. 2012)</t>
  </si>
  <si>
    <t>Model-based (TDP)</t>
  </si>
  <si>
    <t>Reported in (Noureddine et al. 2012; (Noureddine et al. 2015))</t>
  </si>
  <si>
    <t>Two methods available: 
1) Statistical Sampling of Call Stack --&gt; No Code Modification
2) Source Code Instrumentation (i.e. time markers around functions)</t>
  </si>
  <si>
    <t>yes (Java Applications)</t>
  </si>
  <si>
    <t>Noureddine, Adel</t>
  </si>
  <si>
    <t>Lassi Tuura, Giulio, Mikko Kurkela and Filip Nybäck</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</si>
  <si>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IgProf is injected into the target application as a shared library at startup, allowing it to operate entirely within the same process address space. It performs statistical sampling using interval timers and signal handlers, which execute in the context of the application thread. At each sampling point, the profiler captures the current call stack and associates it with energy measurements obtained via RAPL (through PAPI), enabling in-process attribution of energy consumption to functions..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</si>
  <si>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IgProf (Energy module)</t>
  </si>
  <si>
    <t>Function Level</t>
  </si>
  <si>
    <t xml:space="preserve">~5ms sampling interval in (Khan et al. 2015) </t>
  </si>
  <si>
    <t>Attribution 
Mechanism</t>
  </si>
  <si>
    <t>Container Isolation : Accesses cgroups to learn about how resources are shared.</t>
  </si>
  <si>
    <t>Khan, Kashif, Filip Nybäck, Zhonghong Ou, et al. 2015. Energy Profiling Using IgProf. In Proceedings - 2015 IEEE/ACM 15th International Symposium on Cluster, Cloud, and Grid Computing, CCGrid 2015. https://doi.org/10.1109/CCGrid.2015.118.
G. Eulisse, L. Tuura: IgProf profiling tool, Proc. Computing In High Energy And Nuclear Physics (CHEP 2004), Interlaken, Switzerland, 2004</t>
  </si>
  <si>
    <t>1) Allocate all RAPL system energy to process it is attached to
2) Statistical Sampling (stack trace) to allocate energy to functions</t>
  </si>
  <si>
    <t>1) Uses OS provided per-process (PID)resources utilisation to allocate energy to process (JVM)
2a)A version with statistical sampling to allocate energy to methods/classes
2b) A version with automatic bytecode instrumentation to attribute energy to methods/classes</t>
  </si>
  <si>
    <t xml:space="preserve">Not modeled </t>
  </si>
  <si>
    <t>trained model for system-level estimations in virtualised
contex</t>
  </si>
  <si>
    <t>✗ (RAPL throush powercap)</t>
  </si>
  <si>
    <t>Qualitatively Reported in (Khan et al. 2015)</t>
  </si>
  <si>
    <t>Not reported for Energy module</t>
  </si>
  <si>
    <t>Runs as an attached library to the profiled process</t>
  </si>
  <si>
    <t>Limited to not existing for the energy module
(https://igprof.org/index.html)</t>
  </si>
  <si>
    <t>✗(specific models)</t>
  </si>
  <si>
    <t>✗(CPU energy on specific models)</t>
  </si>
  <si>
    <t>✗ (RAPL throush PAPI)</t>
  </si>
  <si>
    <t>Command line tool, export to csv</t>
  </si>
  <si>
    <t>Joular Core</t>
  </si>
  <si>
    <t>Support for VM "exposing System-level metrics in a shared file from host to VM"</t>
  </si>
  <si>
    <t>Yes if provided by host</t>
  </si>
  <si>
    <t>Not maintained since 2024</t>
  </si>
  <si>
    <t>For Rasberry Pi</t>
  </si>
  <si>
    <t>Application Level (All its PIDs)
Process level (PID)</t>
  </si>
  <si>
    <t>PowerJoular/JoularJX</t>
  </si>
  <si>
    <t>`PowerJoular/JoularJX</t>
  </si>
  <si>
    <t>JoularJX</t>
  </si>
  <si>
    <t>Mostly statistical sampling --&gt; no code modification</t>
  </si>
  <si>
    <t>✗(NVIDIA SMI) (computers and servers</t>
  </si>
  <si>
    <t>PowerJoular is aimed to software developers, system administrators and to automated tools, with a goal to help these users understand the power consumption of their devices and software (Noureddine [2021] 2022)</t>
  </si>
  <si>
    <t xml:space="preserve">btw 0.3% and 3.83% on RaspberryPie (Noureddine [2021] 2022)
</t>
  </si>
  <si>
    <t xml:space="preserve">~10ms
</t>
  </si>
  <si>
    <t>~1s</t>
  </si>
  <si>
    <t xml:space="preserve">1) Allocation through Processes CPU utilization
</t>
  </si>
  <si>
    <t>1) Allocation through CPU utilization for Java Threads (1s)
2) Statistical sampling of thread stack trace(10ms)</t>
  </si>
  <si>
    <t>PowerJoular monitors the power consumption of CPU and GPU for PCs, servers and single-board computers (such as Raspberry Pi).
JoularJX uses the power data provided by PowerJoular to monitor the power consumption of methods and source code in Java applications.
These tools extend the strategies used for former PowerAPI/eJalen : runtime estimation are now possible</t>
  </si>
  <si>
    <t>Support for Container "exposing System-level metrics in a shared file from host to VM"</t>
  </si>
  <si>
    <t>Active (Last Commit in 2026)</t>
  </si>
  <si>
    <t>Not reported but supposed to be low (1s sampling rate + written in Ada (low carbon language(Noureddine [2021] 2022)))</t>
  </si>
  <si>
    <t>Not reported</t>
  </si>
  <si>
    <t>no:  statistical sampling</t>
  </si>
  <si>
    <t>Forward Snawballing</t>
  </si>
  <si>
    <t>(Noureddine [2021] 2022)</t>
  </si>
  <si>
    <t>Concice documentation : https://joular.github.io/powerjoular/overview.html</t>
  </si>
  <si>
    <t>Designed for software Developers</t>
  </si>
  <si>
    <t>Power Core is aimed to software developers, system administrators and to automated tools, with a goal to help these users understand the power consumption of their devices and software (Noureddine [2021] 2022)</t>
  </si>
  <si>
    <t>Extension of PowerJoular to MacOs and Windows in a cross-platform implementation written in Rust.
Joular Core is designed to be embedded in larger workflows. It exposes power data through multiple channels — terminal, CSV files, a shared-memory ring buffer, and an HTTP/WebSocket API — so it can feed into whatever downstream system you are working with. Also add a GUI for live monitoring</t>
  </si>
  <si>
    <t>✗ (RAPL (linux/windows) or powerMetrics (Mac))</t>
  </si>
  <si>
    <t>polynomial regression For Rasberry Pi</t>
  </si>
  <si>
    <t>Baseline modeled and 
substracted before allocation</t>
  </si>
  <si>
    <t>Command line tool or Gui</t>
  </si>
  <si>
    <t>MacSilicon</t>
  </si>
  <si>
    <t>no reported</t>
  </si>
  <si>
    <t>Active (Last Commit 2026)</t>
  </si>
  <si>
    <t>Concice documentation : https://joular.github.io/joularcore/</t>
  </si>
  <si>
    <t>Mobile but no attribution</t>
  </si>
  <si>
    <t>e-Surgeon
(PowerAPI+eJalen)</t>
  </si>
  <si>
    <t>Method-Level</t>
  </si>
  <si>
    <t>~ms</t>
  </si>
  <si>
    <t>OS signals + power profiles</t>
  </si>
  <si>
    <t>Time-based allocation (knows exactly entry/exit events of method)</t>
  </si>
  <si>
    <t>Mean relative error: ~1% overall</t>
  </si>
  <si>
    <t>Needs to run app in debug mode to access method traces</t>
  </si>
  <si>
    <t>Measurement Sources</t>
  </si>
  <si>
    <t>Pod-Level</t>
  </si>
  <si>
    <t>Container-Level</t>
  </si>
  <si>
    <t>Process-Level</t>
  </si>
  <si>
    <t>Thread-Level</t>
  </si>
  <si>
    <t>Code Section-Level
(i.e. class, method)</t>
  </si>
  <si>
    <t>e-Surgeon
(PowerAPI)</t>
  </si>
  <si>
    <t>e-Surgeon
(eJalen)</t>
  </si>
  <si>
    <t>Statistical Sampling</t>
  </si>
  <si>
    <t>✗(1) Allocate all RAPL system energy to process it is attached to
2) Statistical Sampling (stack trace) to allocate energy to functions)</t>
  </si>
  <si>
    <t>Call stack sampling</t>
  </si>
  <si>
    <t>✗(for threads)</t>
  </si>
  <si>
    <t>Operational Constraints</t>
  </si>
  <si>
    <t>✗(SCI functionnality)</t>
  </si>
  <si>
    <t>Privilege</t>
  </si>
  <si>
    <t>✗ (Automatic : Byte Code Instrumentation version )</t>
  </si>
  <si>
    <t xml:space="preserve">~10ms (code section)
~1s (thread)
</t>
  </si>
  <si>
    <t>Uses PowerJoular</t>
  </si>
  <si>
    <t>Virtualised environment support</t>
  </si>
  <si>
    <t>Pretrained Model</t>
  </si>
  <si>
    <t>Delegated to another tool</t>
  </si>
  <si>
    <t>Network (NIC)</t>
  </si>
  <si>
    <t>✗(Through PowerAPI)</t>
  </si>
  <si>
    <t>✗(RAPL PSYS Domain)</t>
  </si>
  <si>
    <t>✗(NVIDIA SMI) (computers and servers through Power Joular</t>
  </si>
  <si>
    <t>PID CPU %</t>
  </si>
  <si>
    <t>✗(RAPL) Through Power Joular</t>
  </si>
  <si>
    <t>Extra Metrics</t>
  </si>
  <si>
    <t>✗(IPMI, ACPI)</t>
  </si>
  <si>
    <t>Regression-based 
trained power model</t>
  </si>
  <si>
    <t>OS provided per-process (PID)Network I/O</t>
  </si>
  <si>
    <t>✗(TDP)</t>
  </si>
  <si>
    <t>✗ (TDP) Through PowerAPI</t>
  </si>
  <si>
    <t>Application-Level
(Sum of PIDs)</t>
  </si>
  <si>
    <t>Virtual Machine-Level</t>
  </si>
  <si>
    <t>✗(Compatible with certain Metric Providers)</t>
  </si>
  <si>
    <t xml:space="preserve">NVLM-provided (i.e. driver) per-process SM utilization </t>
  </si>
  <si>
    <t>Single Board Computer
(e.g. Rasperry Pi)</t>
  </si>
  <si>
    <t>✗(NVIDIA-SMI, AMD-SMI) (computers and servers)</t>
  </si>
  <si>
    <t>BaselineModelling and Calibration</t>
  </si>
  <si>
    <t>Two instances :
host exposing VM-level metrics to guest  through shared file</t>
  </si>
  <si>
    <t>✗(Manual : For SCI)</t>
  </si>
  <si>
    <t>Run as Root
Installs RAPL Kernel Module</t>
  </si>
  <si>
    <t>User Mode:
Queries RAPL through PAPI</t>
  </si>
  <si>
    <t xml:space="preserve"> getInputStream()  getOutputStream() calls</t>
  </si>
  <si>
    <t>✗ (For NIC)</t>
  </si>
  <si>
    <t>✗(for CPU : call-stack sampling version)</t>
  </si>
  <si>
    <t>✗ (for CPU : bytecode instrumentation version)</t>
  </si>
  <si>
    <t>Run as Root
Use Powercap for RAPL access</t>
  </si>
  <si>
    <t>Apple Silicon</t>
  </si>
  <si>
    <t>Specific Language</t>
  </si>
  <si>
    <t>Java</t>
  </si>
  <si>
    <t>Power Watts</t>
  </si>
  <si>
    <t>Colmant, Maxime, Mascha Kurpicz, Pascal Felber, Loïc Huertas, Romain Rouvoy, and Anita Sobe. 2014. ‘BitWatts: A Process-Level Power Monitoring Middleware’. Proceedings of the Posters and Demos Session of the 15th International Middleware Conference (New York, NY, USA), Middleware Posters and Demos ’14, 41–42. https://doi.org/10.1145/2678508.2678529.</t>
  </si>
  <si>
    <t>Colmant, Maxime, Mascha Kurpicz, Pascal Felber, Loïc Huertas, Romain Rouvoy, and Anita Sobe</t>
  </si>
  <si>
    <t>Extension of Power API, BitWatts is a modular middleware to assemble software-defined power meters. It is written in Scala. While PowerAPI estimates the hardware energy consumption with a model taking as input the TDP of the processor, BitWatts does this with a regression model taking as input the Hardware Performance Counters (HPC) "instructions", "cache references" and "cache misses". The accuracy of the CPU Energy consumption model has been evaluated at 6% by comparing its estimations with the readings of an external power meter "Power Spy" under SPEC CPU2006 worloads, a famous CPU benchmark suite.</t>
  </si>
  <si>
    <t xml:space="preserve">✗ Linear Regression Model (HPC : "instructions", "cache references", "cache misses" </t>
  </si>
  <si>
    <t>Green Kube</t>
  </si>
  <si>
    <t>Platform Compatibility</t>
  </si>
  <si>
    <t>Software Activity Share Proxy</t>
  </si>
  <si>
    <t>Hardware-Level Energy Estimation</t>
  </si>
  <si>
    <t>Allocation Model</t>
  </si>
  <si>
    <t>Directly proportional to Proxy</t>
  </si>
  <si>
    <t>Proxy Reconstruction</t>
  </si>
  <si>
    <t>Proxy for Hardware Activity Share of Software</t>
  </si>
  <si>
    <t>Kepler     ≤ v0.9</t>
  </si>
  <si>
    <t>Kepler     ≥ 0.10</t>
  </si>
  <si>
    <t>eBPF data collected every 3s.</t>
  </si>
  <si>
    <t>Activity Share Estimation</t>
  </si>
  <si>
    <t>✗ (RAPL through powercap)</t>
  </si>
  <si>
    <t>Time Markers</t>
  </si>
  <si>
    <t>✗ (RAPL through linux  MSR kernel module)</t>
  </si>
  <si>
    <t>Execution Time Markers</t>
  </si>
  <si>
    <t>~1ms</t>
  </si>
  <si>
    <t>"Run as Root
Installs RAPL Kernel Module"</t>
  </si>
  <si>
    <t>✗(Manual)</t>
  </si>
  <si>
    <t xml:space="preserve">Java Library to load from  any Java source code. Developer just needs to put API calls (statCheck) before and after a code block. The energy consumption is  the difference between the two readings </t>
  </si>
  <si>
    <t>Not maintained since 2018</t>
  </si>
  <si>
    <t>Not Reported</t>
  </si>
  <si>
    <t>Limited</t>
  </si>
  <si>
    <t>Designed for software Developements</t>
  </si>
  <si>
    <t>✗ (from HPC vector  (cycles, instructions, cache misses))</t>
  </si>
  <si>
    <t>Modeled and allocated
proportionnaly to processes size</t>
  </si>
  <si>
    <t>Linux</t>
  </si>
  <si>
    <t>Windows</t>
  </si>
  <si>
    <t>MacOS</t>
  </si>
  <si>
    <t>OS</t>
  </si>
  <si>
    <t>Call stack</t>
  </si>
  <si>
    <t>1) Time Markers : JVM byte code  instrumentation /
2) Call stack</t>
  </si>
  <si>
    <t>PID GPU % (from driver API)</t>
  </si>
  <si>
    <t>✗  HPC     (cycles, instructions, cache misses) vector</t>
  </si>
  <si>
    <t>Baseline Modelling and Calibration</t>
  </si>
  <si>
    <t>Code Section-Level</t>
  </si>
  <si>
    <t>Modeled and 
substracted before allocation</t>
  </si>
  <si>
    <t>Regression model (# CPU and OS-provided Resource Utilisation metrics as input)</t>
  </si>
  <si>
    <t>✗Regression-based models for VM deployment</t>
  </si>
  <si>
    <t>✗Regression-based 
 models for VM deployment</t>
  </si>
  <si>
    <t>✗HPC vector (cycles, instructions, cache misses)</t>
  </si>
  <si>
    <t>OS-provided PID CPU %
Cgroups Stat</t>
  </si>
  <si>
    <t>PID runtime + HPC vector (cycles, instructions, cache misses) through eBPF tracing</t>
  </si>
  <si>
    <t xml:space="preserve">OS-provided PID CPU %
Cgroups Stat
Code Special Print (Code Section)
</t>
  </si>
  <si>
    <t xml:space="preserve">OS-provided PID CPU %
Cgroups Stat (Container)
Code Special Print (Code Section)
</t>
  </si>
  <si>
    <t>OS-provided PID CPU %
Cgroups Stat (container)
Code Special Print (Code Section)</t>
  </si>
  <si>
    <t>OS-provided PID CPU %</t>
  </si>
  <si>
    <t>1) OS-provided PID CPU %  for Java Threads through JVM instrumentation
2) Call Stack</t>
  </si>
  <si>
    <t>1) OS-provided PID CPU % for Java Threads through JVM instrumentation
2) Statistical sampling of thread stack trace</t>
  </si>
  <si>
    <t>Modeled and 
allocated to container 
according to OS-provided PID CPU %</t>
  </si>
  <si>
    <t xml:space="preserve">✗1) XGBoost model (TDP, Machine Specs and CPU%)
2) Analytical Model(TDP, #CPUchips and CPU %) </t>
  </si>
  <si>
    <t xml:space="preserve">1) XGBoost model (TDP, Machine Specs and CPU%)
2) Analytical Model(TDP, #CPUchips and CPU %) </t>
  </si>
  <si>
    <t>Regression-based model</t>
  </si>
  <si>
    <t>no
( (CNCF 2023) mentions a planned "passthrough" mode for VM deployment which expose VM energy in a shared file.</t>
  </si>
  <si>
    <t>OS-provided PID CPU %
Cgroups Stat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</si>
</sst>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
      <b/>
      <sz val="36"/>
      <color theme="1"/>
      <name val="Calibri"/>
      <family val="2"/>
      <scheme val="minor"/>
    </font>
    <font>
      <sz val="36"/>
      <color theme="1"/>
      <name val="Calibri"/>
      <family val="2"/>
      <scheme val="minor"/>
    </font>
    <font>
      <b/>
      <sz val="36"/>
      <color rgb="FF000000"/>
      <name val="Calibri"/>
      <family val="2"/>
      <scheme val="minor"/>
    </font>
    <font>
      <sz val="11"/>
      <color rgb="FF000000"/>
      <name val="Calibri"/>
      <family val="2"/>
      <scheme val="minor"/>
    </font>
    <font>
      <sz val="36"/>
      <color rgb="FF000000"/>
      <name val="Calibri"/>
      <family val="2"/>
      <scheme val="minor"/>
    </font>
    <font>
      <b/>
      <sz val="36"/>
      <name val="Calibri"/>
      <family val="2"/>
      <scheme val="minor"/>
    </font>
    <font>
      <sz val="36"/>
      <name val="Calibri"/>
      <family val="2"/>
      <scheme val="minor"/>
    </font>
  </fonts>
  <fills count="45">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6"/>
        <bgColor indexed="64"/>
      </patternFill>
    </fill>
    <fill>
      <patternFill patternType="solid">
        <fgColor theme="5"/>
        <bgColor indexed="64"/>
      </patternFill>
    </fill>
    <fill>
      <patternFill patternType="solid">
        <fgColor theme="4" tint="0.79998168889431442"/>
        <bgColor indexed="64"/>
      </patternFill>
    </fill>
    <fill>
      <patternFill patternType="solid">
        <fgColor theme="3"/>
        <bgColor indexed="64"/>
      </patternFill>
    </fill>
    <fill>
      <patternFill patternType="solid">
        <fgColor theme="3" tint="0.79998168889431442"/>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8"/>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rgb="FFDCE6F1"/>
        <bgColor rgb="FF000000"/>
      </patternFill>
    </fill>
    <fill>
      <patternFill patternType="solid">
        <fgColor rgb="FF8064A2"/>
        <bgColor rgb="FF000000"/>
      </patternFill>
    </fill>
    <fill>
      <patternFill patternType="solid">
        <fgColor rgb="FFC0504D"/>
        <bgColor rgb="FF000000"/>
      </patternFill>
    </fill>
    <fill>
      <patternFill patternType="solid">
        <fgColor rgb="FF9BBB59"/>
        <bgColor rgb="FF000000"/>
      </patternFill>
    </fill>
    <fill>
      <patternFill patternType="solid">
        <fgColor rgb="FF4BACC6"/>
        <bgColor rgb="FF000000"/>
      </patternFill>
    </fill>
    <fill>
      <patternFill patternType="solid">
        <fgColor rgb="FFB1A0C7"/>
        <bgColor rgb="FF000000"/>
      </patternFill>
    </fill>
    <fill>
      <patternFill patternType="solid">
        <fgColor rgb="FFDA9694"/>
        <bgColor rgb="FF000000"/>
      </patternFill>
    </fill>
    <fill>
      <patternFill patternType="solid">
        <fgColor rgb="FFF2F2F2"/>
        <bgColor rgb="FF000000"/>
      </patternFill>
    </fill>
    <fill>
      <patternFill patternType="solid">
        <fgColor rgb="FFD8E4BC"/>
        <bgColor rgb="FF000000"/>
      </patternFill>
    </fill>
    <fill>
      <patternFill patternType="solid">
        <fgColor rgb="FFC4D79B"/>
        <bgColor rgb="FF000000"/>
      </patternFill>
    </fill>
    <fill>
      <patternFill patternType="solid">
        <fgColor rgb="FFB7DEE8"/>
        <bgColor rgb="FF000000"/>
      </patternFill>
    </fill>
    <fill>
      <patternFill patternType="solid">
        <fgColor rgb="FFE6B8B7"/>
        <bgColor rgb="FF000000"/>
      </patternFill>
    </fill>
    <fill>
      <patternFill patternType="solid">
        <fgColor rgb="FFF2DCDB"/>
        <bgColor rgb="FF000000"/>
      </patternFill>
    </fill>
    <fill>
      <patternFill patternType="solid">
        <fgColor theme="0" tint="-0.14999847407452621"/>
        <bgColor rgb="FF000000"/>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rgb="FF000000"/>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97">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1" fillId="0" borderId="0" xfId="0" applyFont="1" applyAlignment="1">
      <alignment wrapText="1"/>
    </xf>
    <xf numFmtId="0" fontId="3" fillId="15" borderId="7" xfId="0" applyFont="1" applyFill="1" applyBorder="1" applyAlignment="1">
      <alignment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0" fillId="0" borderId="6" xfId="0" applyBorder="1" applyAlignment="1">
      <alignment horizontal="center" vertical="center"/>
    </xf>
    <xf numFmtId="0" fontId="7" fillId="0" borderId="6" xfId="0" applyFont="1" applyBorder="1" applyAlignment="1">
      <alignment horizontal="left" vertical="center" wrapText="1"/>
    </xf>
    <xf numFmtId="0" fontId="0" fillId="0" borderId="2" xfId="0" applyBorder="1" applyAlignment="1">
      <alignment horizontal="center" vertical="center"/>
    </xf>
    <xf numFmtId="0" fontId="7" fillId="0" borderId="2" xfId="0" applyFont="1" applyBorder="1" applyAlignment="1">
      <alignment horizontal="left" vertical="center" wrapText="1"/>
    </xf>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9" fillId="0" borderId="0" xfId="0" applyFont="1" applyAlignment="1">
      <alignment wrapText="1"/>
    </xf>
    <xf numFmtId="0" fontId="10" fillId="11" borderId="1" xfId="0" applyFont="1" applyFill="1" applyBorder="1" applyAlignment="1">
      <alignment horizontal="center" vertical="center" wrapText="1"/>
    </xf>
    <xf numFmtId="0" fontId="8" fillId="26" borderId="1" xfId="0" applyFont="1" applyFill="1" applyBorder="1" applyAlignment="1">
      <alignment wrapText="1"/>
    </xf>
    <xf numFmtId="0" fontId="10" fillId="26" borderId="1" xfId="0" applyFont="1" applyFill="1" applyBorder="1" applyAlignment="1">
      <alignment wrapText="1"/>
    </xf>
    <xf numFmtId="0" fontId="8" fillId="0" borderId="1" xfId="0" applyFont="1" applyBorder="1" applyAlignment="1">
      <alignment wrapText="1"/>
    </xf>
    <xf numFmtId="0" fontId="8" fillId="0" borderId="0" xfId="0" applyFont="1" applyAlignment="1">
      <alignment wrapText="1"/>
    </xf>
    <xf numFmtId="0" fontId="10" fillId="0" borderId="1" xfId="0" applyFont="1" applyBorder="1" applyAlignment="1">
      <alignment wrapText="1"/>
    </xf>
    <xf numFmtId="0" fontId="10" fillId="0" borderId="1" xfId="0" applyFont="1" applyBorder="1" applyAlignment="1">
      <alignment horizontal="center" vertical="center" wrapText="1"/>
    </xf>
    <xf numFmtId="0" fontId="9" fillId="0" borderId="1" xfId="0" applyFont="1" applyBorder="1" applyAlignment="1">
      <alignment wrapText="1"/>
    </xf>
    <xf numFmtId="0" fontId="8" fillId="28" borderId="1" xfId="0" applyFont="1" applyFill="1" applyBorder="1" applyAlignment="1">
      <alignment horizontal="center" vertical="top" wrapText="1"/>
    </xf>
    <xf numFmtId="0" fontId="9" fillId="26" borderId="0" xfId="0" applyFont="1" applyFill="1" applyAlignment="1">
      <alignment wrapText="1"/>
    </xf>
    <xf numFmtId="0" fontId="8" fillId="12" borderId="1" xfId="0" applyFont="1" applyFill="1" applyBorder="1" applyAlignment="1">
      <alignment vertical="top" wrapText="1"/>
    </xf>
    <xf numFmtId="0" fontId="8" fillId="0" borderId="0" xfId="0" applyFont="1"/>
    <xf numFmtId="0" fontId="8" fillId="28" borderId="6" xfId="0" applyFont="1" applyFill="1" applyBorder="1" applyAlignment="1">
      <alignment horizontal="center" vertical="top" wrapText="1"/>
    </xf>
    <xf numFmtId="0" fontId="8" fillId="28" borderId="2" xfId="0" applyFont="1" applyFill="1" applyBorder="1" applyAlignment="1">
      <alignment horizontal="center" vertical="top" wrapText="1"/>
    </xf>
    <xf numFmtId="0" fontId="8" fillId="24" borderId="3" xfId="0" applyFont="1" applyFill="1" applyBorder="1" applyAlignment="1">
      <alignment horizontal="center" wrapText="1"/>
    </xf>
    <xf numFmtId="0" fontId="8" fillId="24" borderId="4" xfId="0" applyFont="1" applyFill="1" applyBorder="1" applyAlignment="1">
      <alignment horizontal="center" wrapText="1"/>
    </xf>
    <xf numFmtId="0" fontId="8" fillId="24" borderId="5" xfId="0" applyFont="1" applyFill="1" applyBorder="1" applyAlignment="1">
      <alignment horizontal="center" wrapText="1"/>
    </xf>
    <xf numFmtId="0" fontId="8" fillId="18" borderId="6" xfId="0" applyFont="1" applyFill="1" applyBorder="1" applyAlignment="1">
      <alignment horizontal="center" vertical="top" wrapText="1"/>
    </xf>
    <xf numFmtId="0" fontId="8" fillId="18" borderId="9" xfId="0" applyFont="1" applyFill="1" applyBorder="1" applyAlignment="1">
      <alignment horizontal="center" vertical="top" wrapText="1"/>
    </xf>
    <xf numFmtId="0" fontId="8" fillId="18" borderId="2" xfId="0" applyFont="1" applyFill="1" applyBorder="1" applyAlignment="1">
      <alignment horizontal="center" vertical="top" wrapText="1"/>
    </xf>
    <xf numFmtId="0" fontId="8" fillId="17" borderId="1" xfId="0" applyFont="1" applyFill="1" applyBorder="1" applyAlignment="1">
      <alignment horizontal="center" vertical="top" wrapText="1"/>
    </xf>
    <xf numFmtId="0" fontId="8" fillId="28" borderId="1" xfId="0" applyFont="1" applyFill="1" applyBorder="1" applyAlignment="1">
      <alignment horizontal="center" vertical="top" wrapText="1"/>
    </xf>
    <xf numFmtId="0" fontId="8" fillId="20" borderId="3" xfId="0" applyFont="1" applyFill="1" applyBorder="1" applyAlignment="1">
      <alignment horizontal="center" wrapText="1"/>
    </xf>
    <xf numFmtId="0" fontId="8" fillId="20" borderId="4" xfId="0" applyFont="1" applyFill="1" applyBorder="1" applyAlignment="1">
      <alignment horizontal="center" wrapText="1"/>
    </xf>
    <xf numFmtId="0" fontId="8" fillId="25" borderId="1" xfId="0" applyFont="1" applyFill="1" applyBorder="1" applyAlignment="1">
      <alignment horizontal="center" vertical="top" wrapText="1"/>
    </xf>
    <xf numFmtId="0" fontId="8" fillId="23" borderId="1" xfId="0" applyFont="1" applyFill="1" applyBorder="1" applyAlignment="1">
      <alignment horizontal="center" vertical="top" wrapText="1"/>
    </xf>
    <xf numFmtId="0" fontId="8" fillId="30" borderId="3" xfId="0" applyFont="1" applyFill="1" applyBorder="1" applyAlignment="1">
      <alignment horizontal="center" vertical="top" wrapText="1"/>
    </xf>
    <xf numFmtId="0" fontId="8" fillId="30" borderId="4" xfId="0" applyFont="1" applyFill="1" applyBorder="1" applyAlignment="1">
      <alignment horizontal="center" vertical="top" wrapText="1"/>
    </xf>
    <xf numFmtId="0" fontId="8" fillId="30" borderId="5" xfId="0" applyFont="1" applyFill="1" applyBorder="1" applyAlignment="1">
      <alignment horizontal="center" vertical="top" wrapText="1"/>
    </xf>
    <xf numFmtId="0" fontId="8" fillId="4" borderId="1" xfId="0" applyFont="1" applyFill="1" applyBorder="1" applyAlignment="1">
      <alignment horizontal="center" vertical="top" wrapText="1"/>
    </xf>
    <xf numFmtId="0" fontId="8" fillId="29" borderId="1" xfId="0" applyFont="1" applyFill="1" applyBorder="1" applyAlignment="1">
      <alignment horizontal="center" vertical="top" wrapText="1"/>
    </xf>
    <xf numFmtId="0" fontId="8" fillId="7" borderId="1" xfId="0" applyFont="1" applyFill="1" applyBorder="1" applyAlignment="1">
      <alignment horizontal="center" vertical="top" wrapText="1"/>
    </xf>
    <xf numFmtId="0" fontId="8" fillId="21" borderId="1" xfId="0" applyFont="1" applyFill="1" applyBorder="1" applyAlignment="1">
      <alignment horizontal="center" vertical="center" wrapText="1"/>
    </xf>
    <xf numFmtId="0" fontId="8" fillId="18" borderId="1" xfId="0" applyFont="1" applyFill="1" applyBorder="1" applyAlignment="1">
      <alignment horizontal="center" vertical="top" wrapText="1"/>
    </xf>
    <xf numFmtId="0" fontId="8" fillId="6" borderId="1" xfId="0" applyFont="1" applyFill="1" applyBorder="1" applyAlignment="1">
      <alignment horizontal="center" vertical="top" wrapText="1"/>
    </xf>
    <xf numFmtId="0" fontId="8" fillId="27" borderId="1" xfId="0" applyFont="1" applyFill="1" applyBorder="1" applyAlignment="1">
      <alignment horizontal="center" wrapText="1"/>
    </xf>
    <xf numFmtId="0" fontId="8" fillId="19" borderId="1" xfId="0" applyFont="1" applyFill="1" applyBorder="1" applyAlignment="1">
      <alignment horizontal="center"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4" borderId="3" xfId="0" applyFont="1" applyFill="1" applyBorder="1" applyAlignment="1">
      <alignment horizontal="center" vertical="top" wrapText="1"/>
    </xf>
    <xf numFmtId="0" fontId="2" fillId="4" borderId="4" xfId="0" applyFont="1" applyFill="1" applyBorder="1" applyAlignment="1">
      <alignment horizontal="center" vertical="top" wrapText="1"/>
    </xf>
    <xf numFmtId="0" fontId="2" fillId="4" borderId="5" xfId="0" applyFont="1" applyFill="1" applyBorder="1" applyAlignment="1">
      <alignment horizontal="center" vertical="top" wrapText="1"/>
    </xf>
    <xf numFmtId="0" fontId="2" fillId="8"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16" borderId="6" xfId="0" applyFont="1" applyFill="1" applyBorder="1" applyAlignment="1">
      <alignment horizontal="center" vertical="top" wrapText="1"/>
    </xf>
    <xf numFmtId="0" fontId="2" fillId="16" borderId="8" xfId="0" applyFont="1" applyFill="1" applyBorder="1" applyAlignment="1">
      <alignment horizontal="center" vertical="top" wrapText="1"/>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6" borderId="6" xfId="0" applyFont="1" applyFill="1" applyBorder="1" applyAlignment="1">
      <alignment horizontal="center" vertical="top" wrapText="1"/>
    </xf>
    <xf numFmtId="0" fontId="2" fillId="6" borderId="8" xfId="0" applyFont="1" applyFill="1" applyBorder="1" applyAlignment="1">
      <alignment horizontal="center" vertical="top" wrapText="1"/>
    </xf>
    <xf numFmtId="0" fontId="2" fillId="12" borderId="6"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3" borderId="6" xfId="0" applyFont="1" applyFill="1" applyBorder="1" applyAlignment="1">
      <alignment horizontal="center" vertical="top" wrapText="1"/>
    </xf>
    <xf numFmtId="0" fontId="2" fillId="13" borderId="8"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2" fillId="7" borderId="6"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5" borderId="6"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5" borderId="1"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4" borderId="6" xfId="0" applyFont="1" applyFill="1" applyBorder="1" applyAlignment="1">
      <alignment horizontal="center" vertical="top" wrapText="1"/>
    </xf>
    <xf numFmtId="0" fontId="2" fillId="14" borderId="8" xfId="0" applyFont="1" applyFill="1" applyBorder="1" applyAlignment="1">
      <alignment horizontal="center" vertical="top" wrapText="1"/>
    </xf>
    <xf numFmtId="0" fontId="8" fillId="22" borderId="10" xfId="0" applyFont="1" applyFill="1" applyBorder="1" applyAlignment="1">
      <alignment horizontal="center" wrapText="1"/>
    </xf>
    <xf numFmtId="0" fontId="8" fillId="22" borderId="11" xfId="0" applyFont="1" applyFill="1" applyBorder="1" applyAlignment="1">
      <alignment horizontal="center" wrapText="1"/>
    </xf>
    <xf numFmtId="0" fontId="8" fillId="4" borderId="6" xfId="0" applyFont="1" applyFill="1" applyBorder="1" applyAlignment="1">
      <alignment horizontal="center" vertical="top" wrapText="1"/>
    </xf>
    <xf numFmtId="0" fontId="8" fillId="4" borderId="2" xfId="0" applyFont="1" applyFill="1" applyBorder="1" applyAlignment="1">
      <alignment horizontal="center" vertical="top" wrapText="1"/>
    </xf>
    <xf numFmtId="0" fontId="8" fillId="28" borderId="3" xfId="0" applyFont="1" applyFill="1" applyBorder="1" applyAlignment="1">
      <alignment horizontal="center" vertical="top" wrapText="1"/>
    </xf>
    <xf numFmtId="0" fontId="8" fillId="28" borderId="4" xfId="0" applyFont="1" applyFill="1" applyBorder="1" applyAlignment="1">
      <alignment horizontal="center" vertical="top" wrapText="1"/>
    </xf>
    <xf numFmtId="0" fontId="8" fillId="28" borderId="5" xfId="0" applyFont="1" applyFill="1" applyBorder="1" applyAlignment="1">
      <alignment horizontal="center" vertical="top" wrapText="1"/>
    </xf>
    <xf numFmtId="0" fontId="12" fillId="0" borderId="0" xfId="0" applyFont="1" applyAlignment="1">
      <alignment wrapText="1"/>
    </xf>
    <xf numFmtId="0" fontId="0" fillId="0" borderId="0" xfId="0" applyAlignment="1">
      <alignment wrapText="1"/>
    </xf>
    <xf numFmtId="0" fontId="12" fillId="38" borderId="0" xfId="0" applyFont="1" applyFill="1" applyAlignment="1">
      <alignment wrapText="1"/>
    </xf>
    <xf numFmtId="0" fontId="10" fillId="0" borderId="0" xfId="0" applyFont="1" applyAlignment="1">
      <alignment wrapText="1"/>
    </xf>
    <xf numFmtId="0" fontId="10" fillId="43" borderId="2" xfId="0" applyFont="1" applyFill="1" applyBorder="1" applyAlignment="1">
      <alignment vertical="top" wrapText="1"/>
    </xf>
    <xf numFmtId="0" fontId="10" fillId="43" borderId="11" xfId="0" applyFont="1" applyFill="1" applyBorder="1" applyAlignment="1">
      <alignment vertical="top" wrapText="1"/>
    </xf>
    <xf numFmtId="0" fontId="10" fillId="31" borderId="6" xfId="0" applyFont="1" applyFill="1" applyBorder="1" applyAlignment="1">
      <alignment horizontal="center" vertical="center" wrapText="1"/>
    </xf>
    <xf numFmtId="0" fontId="10" fillId="31" borderId="9" xfId="0" applyFont="1" applyFill="1" applyBorder="1" applyAlignment="1">
      <alignment horizontal="center" vertical="center" wrapText="1"/>
    </xf>
    <xf numFmtId="0" fontId="10" fillId="31" borderId="2" xfId="0" applyFont="1" applyFill="1" applyBorder="1" applyAlignment="1">
      <alignment horizontal="center" vertical="center" wrapText="1"/>
    </xf>
    <xf numFmtId="0" fontId="10" fillId="32" borderId="3" xfId="0" applyFont="1" applyFill="1" applyBorder="1" applyAlignment="1">
      <alignment horizontal="center" vertical="top" wrapText="1"/>
    </xf>
    <xf numFmtId="0" fontId="10" fillId="32" borderId="4" xfId="0" applyFont="1" applyFill="1" applyBorder="1" applyAlignment="1">
      <alignment horizontal="center" vertical="top" wrapText="1"/>
    </xf>
    <xf numFmtId="0" fontId="10" fillId="32" borderId="5" xfId="0" applyFont="1" applyFill="1" applyBorder="1" applyAlignment="1">
      <alignment horizontal="center" vertical="top" wrapText="1"/>
    </xf>
    <xf numFmtId="0" fontId="10" fillId="33" borderId="3" xfId="0" applyFont="1" applyFill="1" applyBorder="1" applyAlignment="1">
      <alignment horizontal="center" wrapText="1"/>
    </xf>
    <xf numFmtId="0" fontId="10" fillId="33" borderId="4" xfId="0" applyFont="1" applyFill="1" applyBorder="1" applyAlignment="1">
      <alignment horizontal="center" wrapText="1"/>
    </xf>
    <xf numFmtId="0" fontId="10" fillId="34" borderId="3" xfId="0" applyFont="1" applyFill="1" applyBorder="1" applyAlignment="1">
      <alignment horizontal="center" wrapText="1"/>
    </xf>
    <xf numFmtId="0" fontId="10" fillId="34" borderId="4" xfId="0" applyFont="1" applyFill="1" applyBorder="1" applyAlignment="1">
      <alignment horizontal="center" wrapText="1"/>
    </xf>
    <xf numFmtId="0" fontId="10" fillId="34" borderId="5" xfId="0" applyFont="1" applyFill="1" applyBorder="1" applyAlignment="1">
      <alignment horizontal="center" wrapText="1"/>
    </xf>
    <xf numFmtId="0" fontId="10" fillId="35" borderId="3" xfId="0" applyFont="1" applyFill="1" applyBorder="1" applyAlignment="1">
      <alignment horizontal="center" wrapText="1"/>
    </xf>
    <xf numFmtId="0" fontId="10" fillId="35" borderId="4" xfId="0" applyFont="1" applyFill="1" applyBorder="1" applyAlignment="1">
      <alignment horizontal="center" wrapText="1"/>
    </xf>
    <xf numFmtId="0" fontId="10" fillId="35" borderId="5" xfId="0" applyFont="1" applyFill="1" applyBorder="1" applyAlignment="1">
      <alignment horizontal="center" wrapText="1"/>
    </xf>
    <xf numFmtId="0" fontId="10" fillId="36" borderId="9" xfId="0" applyFont="1" applyFill="1" applyBorder="1" applyAlignment="1">
      <alignment horizontal="center" vertical="top" wrapText="1"/>
    </xf>
    <xf numFmtId="0" fontId="10" fillId="36" borderId="6" xfId="0" applyFont="1" applyFill="1" applyBorder="1" applyAlignment="1">
      <alignment horizontal="center" vertical="top" wrapText="1"/>
    </xf>
    <xf numFmtId="0" fontId="10" fillId="36" borderId="12" xfId="0" applyFont="1" applyFill="1" applyBorder="1" applyAlignment="1">
      <alignment horizontal="center" vertical="top" wrapText="1"/>
    </xf>
    <xf numFmtId="0" fontId="10" fillId="36" borderId="2" xfId="0" applyFont="1" applyFill="1" applyBorder="1" applyAlignment="1">
      <alignment horizontal="center" vertical="top" wrapText="1"/>
    </xf>
    <xf numFmtId="0" fontId="10" fillId="37" borderId="3" xfId="0" applyFont="1" applyFill="1" applyBorder="1" applyAlignment="1">
      <alignment horizontal="center" vertical="top" wrapText="1"/>
    </xf>
    <xf numFmtId="0" fontId="10" fillId="37" borderId="4" xfId="0" applyFont="1" applyFill="1" applyBorder="1" applyAlignment="1">
      <alignment horizontal="center" vertical="top" wrapText="1"/>
    </xf>
    <xf numFmtId="0" fontId="10" fillId="37" borderId="13" xfId="0" applyFont="1" applyFill="1" applyBorder="1" applyAlignment="1">
      <alignment horizontal="center" vertical="top" wrapText="1"/>
    </xf>
    <xf numFmtId="0" fontId="10" fillId="39" borderId="3" xfId="0" applyFont="1" applyFill="1" applyBorder="1" applyAlignment="1">
      <alignment horizontal="center" vertical="top" wrapText="1"/>
    </xf>
    <xf numFmtId="0" fontId="10" fillId="39" borderId="4" xfId="0" applyFont="1" applyFill="1" applyBorder="1" applyAlignment="1">
      <alignment horizontal="center" vertical="top" wrapText="1"/>
    </xf>
    <xf numFmtId="0" fontId="10" fillId="39" borderId="5" xfId="0" applyFont="1" applyFill="1" applyBorder="1" applyAlignment="1">
      <alignment horizontal="center" vertical="top" wrapText="1"/>
    </xf>
    <xf numFmtId="0" fontId="10" fillId="40" borderId="9" xfId="0" applyFont="1" applyFill="1" applyBorder="1" applyAlignment="1">
      <alignment horizontal="center" vertical="top" wrapText="1"/>
    </xf>
    <xf numFmtId="0" fontId="10" fillId="40" borderId="6" xfId="0" applyFont="1" applyFill="1" applyBorder="1" applyAlignment="1">
      <alignment horizontal="center" vertical="top" wrapText="1"/>
    </xf>
    <xf numFmtId="0" fontId="10" fillId="40" borderId="2" xfId="0" applyFont="1" applyFill="1" applyBorder="1" applyAlignment="1">
      <alignment horizontal="center" vertical="top" wrapText="1"/>
    </xf>
    <xf numFmtId="0" fontId="10" fillId="41" borderId="9" xfId="0" applyFont="1" applyFill="1" applyBorder="1" applyAlignment="1">
      <alignment horizontal="center" vertical="top" wrapText="1"/>
    </xf>
    <xf numFmtId="0" fontId="10" fillId="41" borderId="6" xfId="0" applyFont="1" applyFill="1" applyBorder="1" applyAlignment="1">
      <alignment horizontal="center" vertical="top" wrapText="1"/>
    </xf>
    <xf numFmtId="0" fontId="10" fillId="41" borderId="2" xfId="0" applyFont="1" applyFill="1" applyBorder="1" applyAlignment="1">
      <alignment horizontal="center" vertical="top" wrapText="1"/>
    </xf>
    <xf numFmtId="0" fontId="10" fillId="42" borderId="3" xfId="0" applyFont="1" applyFill="1" applyBorder="1" applyAlignment="1">
      <alignment horizontal="center" vertical="top" wrapText="1"/>
    </xf>
    <xf numFmtId="0" fontId="10" fillId="42" borderId="4" xfId="0" applyFont="1" applyFill="1" applyBorder="1" applyAlignment="1">
      <alignment horizontal="center" vertical="top" wrapText="1"/>
    </xf>
    <xf numFmtId="0" fontId="10" fillId="42" borderId="5" xfId="0" applyFont="1" applyFill="1" applyBorder="1" applyAlignment="1">
      <alignment horizontal="center" vertical="top" wrapText="1"/>
    </xf>
    <xf numFmtId="0" fontId="10" fillId="42" borderId="6" xfId="0" applyFont="1" applyFill="1" applyBorder="1" applyAlignment="1">
      <alignment horizontal="center" vertical="top" wrapText="1"/>
    </xf>
    <xf numFmtId="0" fontId="10" fillId="42" borderId="2" xfId="0" applyFont="1" applyFill="1" applyBorder="1" applyAlignment="1">
      <alignment horizontal="center" vertical="top" wrapText="1"/>
    </xf>
    <xf numFmtId="0" fontId="10" fillId="39" borderId="6" xfId="0" applyFont="1" applyFill="1" applyBorder="1" applyAlignment="1">
      <alignment horizontal="center" vertical="top" wrapText="1"/>
    </xf>
    <xf numFmtId="0" fontId="10" fillId="39" borderId="2" xfId="0" applyFont="1" applyFill="1" applyBorder="1" applyAlignment="1">
      <alignment horizontal="center" vertical="top" wrapText="1"/>
    </xf>
    <xf numFmtId="0" fontId="10" fillId="39" borderId="12" xfId="0" applyFont="1" applyFill="1" applyBorder="1" applyAlignment="1">
      <alignment horizontal="center" vertical="top" wrapText="1"/>
    </xf>
    <xf numFmtId="0" fontId="11" fillId="0" borderId="0" xfId="0" applyFont="1" applyAlignment="1">
      <alignment wrapText="1"/>
    </xf>
    <xf numFmtId="0" fontId="0" fillId="0" borderId="0" xfId="0" applyAlignment="1"/>
    <xf numFmtId="0" fontId="13" fillId="0" borderId="1" xfId="0" applyFont="1" applyFill="1" applyBorder="1" applyAlignment="1">
      <alignment wrapText="1"/>
    </xf>
    <xf numFmtId="0" fontId="14" fillId="0" borderId="0" xfId="0" applyFont="1" applyFill="1" applyAlignment="1">
      <alignment wrapText="1"/>
    </xf>
    <xf numFmtId="0" fontId="10" fillId="44" borderId="1"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0" fillId="44" borderId="2" xfId="0" applyFont="1" applyFill="1" applyBorder="1" applyAlignment="1">
      <alignment horizontal="center" vertical="center" wrapText="1"/>
    </xf>
    <xf numFmtId="0" fontId="10" fillId="9" borderId="1" xfId="0" applyFont="1" applyFill="1" applyBorder="1" applyAlignment="1">
      <alignment horizontal="center" vertical="center" wrapText="1"/>
    </xf>
  </cellXfs>
  <cellStyles count="2">
    <cellStyle name="Hyperlink" xfId="1" builtinId="8"/>
    <cellStyle name="Normal" xfId="0" builtinId="0"/>
  </cellStyles>
  <dxfs count="121">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tint="-0.499984740745262"/>
      </font>
      <fill>
        <patternFill>
          <bgColor theme="0" tint="-4.9989318521683403E-2"/>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Table Style 1" pivot="0" count="1" xr9:uid="{DF00C389-F294-FB48-80B0-022781D38C47}">
      <tableStyleElement type="wholeTable" dxfId="120"/>
    </tableStyle>
    <tableStyle name="Table Style 2" pivot="0" count="4" xr9:uid="{66177898-DED3-9C47-8DA6-ABD521A19111}">
      <tableStyleElement type="wholeTable" dxfId="119"/>
      <tableStyleElement type="headerRow" dxfId="118"/>
      <tableStyleElement type="firstRowStripe" dxfId="117"/>
      <tableStyleElement type="secondRowStripe" dxfId="1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15" dataDxfId="114" tableBorderDxfId="113">
  <autoFilter ref="C2:K22" xr:uid="{1C9355DD-35BE-3D46-8331-B67246AE3C74}"/>
  <tableColumns count="9">
    <tableColumn id="1" xr3:uid="{B697189A-DF2B-4341-9FF4-7259FA9252F8}" name="Tool Name" dataDxfId="112"/>
    <tableColumn id="2" xr3:uid="{F3B719A6-5185-6144-A373-7DD05C5FE758}" name="References" dataDxfId="111"/>
    <tableColumn id="3" xr3:uid="{271ED028-8F14-D741-A569-E2FEB926BB1C}" name="Year" dataDxfId="110"/>
    <tableColumn id="4" xr3:uid="{B7FF3EF8-B658-904B-8045-D98673D5126F}" name="Authors/Institution" dataDxfId="109"/>
    <tableColumn id="5" xr3:uid="{63D16556-412F-8B4C-BF7C-5FF77216838E}" name="Discovery Method" dataDxfId="108"/>
    <tableColumn id="6" xr3:uid="{946E4FD2-8FE0-9345-A39D-83A4386577DF}" name="Discovered From" dataDxfId="107"/>
    <tableColumn id="7" xr3:uid="{DF93B5C3-BD8E-D543-8F4C-AC0C5199BC07}" name="Selection Status" dataDxfId="106"/>
    <tableColumn id="8" xr3:uid="{03969A93-C0C5-BB4C-ACA8-090EAA97265A}" name="Exclusion Reason" dataDxfId="105"/>
    <tableColumn id="9" xr3:uid="{01558EB7-81C3-6642-A7E2-29E574F37760}" name="Short Description" dataDxfId="104"/>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K113"/>
  <sheetViews>
    <sheetView topLeftCell="A10" zoomScale="62" zoomScaleNormal="67" workbookViewId="0">
      <selection activeCell="D14" sqref="D14"/>
    </sheetView>
  </sheetViews>
  <sheetFormatPr baseColWidth="10" defaultColWidth="8.83203125" defaultRowHeight="15"/>
  <cols>
    <col min="1" max="1" width="7" style="11" bestFit="1" customWidth="1"/>
    <col min="2" max="2" width="8.5" style="11" customWidth="1"/>
    <col min="3" max="3" width="28" style="11" customWidth="1"/>
    <col min="4" max="4" width="219.33203125" style="18" customWidth="1"/>
    <col min="5" max="5" width="32.6640625" style="11" customWidth="1"/>
    <col min="6" max="6" width="28" style="13" bestFit="1" customWidth="1"/>
    <col min="7" max="7" width="29" style="13" bestFit="1" customWidth="1"/>
    <col min="8" max="8" width="24.1640625" style="11" bestFit="1" customWidth="1"/>
    <col min="9" max="9" width="10.6640625" style="11" bestFit="1" customWidth="1"/>
    <col min="10" max="10" width="23.33203125" style="11" bestFit="1" customWidth="1"/>
    <col min="11" max="11" width="82.33203125" style="11" customWidth="1"/>
    <col min="12" max="16384" width="8.83203125" style="11"/>
  </cols>
  <sheetData>
    <row r="2" spans="2:11" ht="20">
      <c r="B2"/>
      <c r="C2" s="26" t="s">
        <v>20</v>
      </c>
      <c r="D2" s="27" t="s">
        <v>11</v>
      </c>
      <c r="E2" s="28" t="s">
        <v>0</v>
      </c>
      <c r="F2" s="29" t="s">
        <v>1</v>
      </c>
      <c r="G2" s="29" t="s">
        <v>21</v>
      </c>
      <c r="H2" s="28" t="s">
        <v>22</v>
      </c>
      <c r="I2" s="28" t="s">
        <v>23</v>
      </c>
      <c r="J2" s="28" t="s">
        <v>24</v>
      </c>
      <c r="K2" s="28" t="s">
        <v>25</v>
      </c>
    </row>
    <row r="3" spans="2:11" ht="48">
      <c r="B3"/>
      <c r="C3" s="8" t="s">
        <v>27</v>
      </c>
      <c r="D3" s="44" t="s">
        <v>51</v>
      </c>
      <c r="E3" s="8">
        <v>2022</v>
      </c>
      <c r="F3" s="22" t="s">
        <v>28</v>
      </c>
      <c r="G3" s="22" t="s">
        <v>29</v>
      </c>
      <c r="H3" s="9" t="s">
        <v>35</v>
      </c>
      <c r="I3" s="9" t="s">
        <v>30</v>
      </c>
      <c r="J3" s="9" t="s">
        <v>35</v>
      </c>
      <c r="K3" s="22" t="s">
        <v>91</v>
      </c>
    </row>
    <row r="4" spans="2:11" ht="80">
      <c r="B4"/>
      <c r="C4" s="6" t="s">
        <v>31</v>
      </c>
      <c r="D4" s="44" t="s">
        <v>52</v>
      </c>
      <c r="E4" s="6">
        <v>2023</v>
      </c>
      <c r="F4" s="12" t="s">
        <v>34</v>
      </c>
      <c r="G4" s="12" t="s">
        <v>29</v>
      </c>
      <c r="H4" s="7" t="s">
        <v>35</v>
      </c>
      <c r="I4" s="7" t="s">
        <v>30</v>
      </c>
      <c r="J4" s="7" t="s">
        <v>35</v>
      </c>
      <c r="K4" s="12" t="s">
        <v>36</v>
      </c>
    </row>
    <row r="5" spans="2:11" ht="80">
      <c r="B5"/>
      <c r="C5" s="6" t="s">
        <v>176</v>
      </c>
      <c r="D5" s="44" t="s">
        <v>50</v>
      </c>
      <c r="E5" s="6">
        <v>2012</v>
      </c>
      <c r="F5" s="17" t="s">
        <v>96</v>
      </c>
      <c r="G5" s="17" t="s">
        <v>53</v>
      </c>
      <c r="H5" s="17" t="s">
        <v>54</v>
      </c>
      <c r="I5" s="7" t="s">
        <v>30</v>
      </c>
      <c r="J5" s="14" t="s">
        <v>35</v>
      </c>
      <c r="K5" s="17" t="s">
        <v>92</v>
      </c>
    </row>
    <row r="6" spans="2:11" ht="48">
      <c r="B6"/>
      <c r="C6" s="6" t="s">
        <v>38</v>
      </c>
      <c r="D6" s="45" t="s">
        <v>93</v>
      </c>
      <c r="E6" s="6" t="s">
        <v>95</v>
      </c>
      <c r="F6" s="17" t="s">
        <v>63</v>
      </c>
      <c r="G6" s="17" t="s">
        <v>94</v>
      </c>
      <c r="H6" s="14" t="s">
        <v>35</v>
      </c>
      <c r="I6" s="7" t="s">
        <v>106</v>
      </c>
      <c r="J6" s="14" t="s">
        <v>108</v>
      </c>
      <c r="K6" s="17" t="s">
        <v>102</v>
      </c>
    </row>
    <row r="7" spans="2:11" ht="80">
      <c r="B7"/>
      <c r="C7" s="8" t="s">
        <v>32</v>
      </c>
      <c r="D7" s="44" t="s">
        <v>33</v>
      </c>
      <c r="E7" s="8">
        <v>2020</v>
      </c>
      <c r="F7" s="21" t="s">
        <v>168</v>
      </c>
      <c r="G7" s="21" t="s">
        <v>98</v>
      </c>
      <c r="H7" s="16" t="s">
        <v>97</v>
      </c>
      <c r="I7" s="9" t="s">
        <v>30</v>
      </c>
      <c r="J7" s="16" t="s">
        <v>35</v>
      </c>
      <c r="K7" s="21" t="s">
        <v>169</v>
      </c>
    </row>
    <row r="8" spans="2:11" ht="80">
      <c r="B8"/>
      <c r="C8" s="6" t="s">
        <v>100</v>
      </c>
      <c r="D8" s="44" t="s">
        <v>33</v>
      </c>
      <c r="E8" s="6">
        <v>2017</v>
      </c>
      <c r="F8" s="17" t="s">
        <v>171</v>
      </c>
      <c r="G8" s="17" t="s">
        <v>98</v>
      </c>
      <c r="H8" s="14" t="s">
        <v>97</v>
      </c>
      <c r="I8" s="7" t="s">
        <v>106</v>
      </c>
      <c r="J8" s="14" t="s">
        <v>108</v>
      </c>
      <c r="K8" s="17" t="s">
        <v>170</v>
      </c>
    </row>
    <row r="9" spans="2:11" ht="272">
      <c r="B9"/>
      <c r="C9" s="6" t="s">
        <v>104</v>
      </c>
      <c r="D9" s="44" t="s">
        <v>103</v>
      </c>
      <c r="E9" s="6">
        <v>2025</v>
      </c>
      <c r="F9" s="17" t="s">
        <v>105</v>
      </c>
      <c r="G9" s="17" t="s">
        <v>53</v>
      </c>
      <c r="H9" s="14" t="s">
        <v>35</v>
      </c>
      <c r="I9" s="7" t="s">
        <v>106</v>
      </c>
      <c r="J9" s="14" t="s">
        <v>108</v>
      </c>
      <c r="K9" s="17" t="s">
        <v>174</v>
      </c>
    </row>
    <row r="10" spans="2:11" ht="272">
      <c r="B10"/>
      <c r="C10" s="6" t="s">
        <v>42</v>
      </c>
      <c r="D10" s="47" t="s">
        <v>178</v>
      </c>
      <c r="E10" s="6">
        <v>2015</v>
      </c>
      <c r="F10" s="17" t="s">
        <v>173</v>
      </c>
      <c r="G10" s="17" t="s">
        <v>98</v>
      </c>
      <c r="H10" s="14" t="s">
        <v>172</v>
      </c>
      <c r="I10" s="9" t="s">
        <v>30</v>
      </c>
      <c r="J10" s="14" t="s">
        <v>35</v>
      </c>
      <c r="K10" s="17" t="s">
        <v>175</v>
      </c>
    </row>
    <row r="11" spans="2:11" ht="380">
      <c r="B11"/>
      <c r="C11" s="6" t="s">
        <v>41</v>
      </c>
      <c r="D11" s="46" t="s">
        <v>201</v>
      </c>
      <c r="E11" s="6">
        <v>2015</v>
      </c>
      <c r="F11" s="17" t="s">
        <v>194</v>
      </c>
      <c r="G11" s="17" t="s">
        <v>98</v>
      </c>
      <c r="H11" s="14" t="s">
        <v>172</v>
      </c>
      <c r="I11" s="7" t="s">
        <v>30</v>
      </c>
      <c r="J11" s="14" t="s">
        <v>35</v>
      </c>
      <c r="K11" s="17" t="s">
        <v>195</v>
      </c>
    </row>
    <row r="12" spans="2:11" ht="80">
      <c r="B12"/>
      <c r="C12" s="6" t="s">
        <v>221</v>
      </c>
      <c r="D12" s="46" t="s">
        <v>179</v>
      </c>
      <c r="E12" s="6">
        <v>2021</v>
      </c>
      <c r="F12" s="17" t="s">
        <v>193</v>
      </c>
      <c r="G12" s="17" t="s">
        <v>98</v>
      </c>
      <c r="H12" s="14" t="s">
        <v>172</v>
      </c>
      <c r="I12" s="7" t="s">
        <v>30</v>
      </c>
      <c r="J12" s="14" t="s">
        <v>35</v>
      </c>
      <c r="K12" s="17" t="s">
        <v>232</v>
      </c>
    </row>
    <row r="13" spans="2:11" ht="64">
      <c r="B13"/>
      <c r="C13" s="10" t="s">
        <v>215</v>
      </c>
      <c r="D13" s="46"/>
      <c r="E13" s="11">
        <v>2026</v>
      </c>
      <c r="F13" s="17" t="s">
        <v>193</v>
      </c>
      <c r="G13" s="17" t="s">
        <v>238</v>
      </c>
      <c r="H13" t="s">
        <v>239</v>
      </c>
      <c r="I13" s="7" t="s">
        <v>30</v>
      </c>
      <c r="J13" s="11" t="s">
        <v>35</v>
      </c>
      <c r="K13" s="13" t="s">
        <v>243</v>
      </c>
    </row>
    <row r="14" spans="2:11" ht="96">
      <c r="B14"/>
      <c r="C14" s="6" t="s">
        <v>44</v>
      </c>
      <c r="D14" s="46" t="s">
        <v>313</v>
      </c>
      <c r="E14" s="10">
        <v>2014</v>
      </c>
      <c r="F14" s="17" t="s">
        <v>314</v>
      </c>
      <c r="G14" s="17" t="s">
        <v>98</v>
      </c>
      <c r="H14" s="14" t="s">
        <v>172</v>
      </c>
      <c r="I14" s="7" t="s">
        <v>30</v>
      </c>
      <c r="J14" s="15" t="s">
        <v>35</v>
      </c>
      <c r="K14" s="18" t="s">
        <v>315</v>
      </c>
    </row>
    <row r="15" spans="2:11" ht="16">
      <c r="B15" s="10"/>
      <c r="C15" s="10" t="s">
        <v>47</v>
      </c>
      <c r="D15" s="46"/>
      <c r="E15" s="10"/>
      <c r="F15" s="18"/>
      <c r="G15" s="17" t="s">
        <v>98</v>
      </c>
      <c r="H15" s="14" t="s">
        <v>172</v>
      </c>
      <c r="I15" s="7" t="s">
        <v>30</v>
      </c>
      <c r="J15" s="15" t="s">
        <v>35</v>
      </c>
      <c r="K15" s="15"/>
    </row>
    <row r="16" spans="2:11">
      <c r="B16" s="10"/>
      <c r="C16" s="10" t="s">
        <v>317</v>
      </c>
      <c r="D16" s="46"/>
      <c r="E16" s="10"/>
      <c r="F16" s="18"/>
      <c r="G16" s="18"/>
      <c r="H16" s="15"/>
      <c r="I16" s="7"/>
      <c r="J16" s="15"/>
      <c r="K16" s="15"/>
    </row>
    <row r="17" spans="2:11">
      <c r="B17" s="10"/>
      <c r="C17" s="10"/>
      <c r="D17" s="46"/>
      <c r="E17" s="10"/>
      <c r="F17" s="18"/>
      <c r="G17" s="18"/>
      <c r="H17" s="15"/>
      <c r="J17" s="15"/>
      <c r="K17" s="15"/>
    </row>
    <row r="18" spans="2:11">
      <c r="B18" s="10"/>
      <c r="C18" s="10"/>
      <c r="D18" s="46"/>
      <c r="E18" s="10"/>
      <c r="F18" s="18"/>
      <c r="G18" s="18"/>
      <c r="H18" s="15"/>
      <c r="J18" s="15"/>
      <c r="K18" s="15"/>
    </row>
    <row r="19" spans="2:11">
      <c r="B19" s="10"/>
      <c r="C19" s="10"/>
      <c r="D19" s="46"/>
      <c r="E19" s="10"/>
      <c r="F19" s="18"/>
      <c r="G19" s="18"/>
      <c r="H19" s="15"/>
      <c r="J19" s="15"/>
      <c r="K19" s="15"/>
    </row>
    <row r="20" spans="2:11">
      <c r="B20" s="10"/>
      <c r="C20" s="10"/>
      <c r="D20" s="46"/>
      <c r="E20" s="10"/>
      <c r="F20" s="18"/>
      <c r="G20" s="18"/>
      <c r="H20" s="15"/>
      <c r="J20" s="15"/>
      <c r="K20" s="15"/>
    </row>
    <row r="21" spans="2:11" ht="16">
      <c r="B21" s="10"/>
      <c r="C21" s="10"/>
      <c r="D21" s="46" t="s">
        <v>101</v>
      </c>
      <c r="E21" s="10"/>
      <c r="F21" s="18"/>
      <c r="G21" s="18"/>
      <c r="H21" s="15"/>
      <c r="J21" s="15"/>
      <c r="K21" s="15"/>
    </row>
    <row r="22" spans="2:11">
      <c r="B22" s="10"/>
      <c r="C22" s="10"/>
      <c r="D22" s="46"/>
      <c r="E22" s="10"/>
      <c r="F22" s="18"/>
      <c r="G22" s="18"/>
      <c r="H22" s="15"/>
      <c r="J22" s="15"/>
      <c r="K22" s="15"/>
    </row>
    <row r="23" spans="2:11">
      <c r="B23" s="10"/>
      <c r="C23" s="10"/>
      <c r="D23" s="25"/>
      <c r="E23" s="10"/>
      <c r="F23" s="18"/>
      <c r="G23" s="18"/>
      <c r="H23" s="15"/>
      <c r="J23" s="15"/>
      <c r="K23" s="15"/>
    </row>
    <row r="24" spans="2:11">
      <c r="B24" s="10"/>
      <c r="C24" s="10"/>
      <c r="D24" s="25"/>
      <c r="E24" s="10"/>
      <c r="F24" s="18"/>
      <c r="G24" s="18"/>
      <c r="H24" s="15"/>
      <c r="J24" s="15"/>
    </row>
    <row r="25" spans="2:11">
      <c r="B25" s="10"/>
      <c r="C25" s="10"/>
      <c r="D25" s="25"/>
      <c r="E25" s="10"/>
      <c r="F25" s="18"/>
      <c r="G25" s="18"/>
      <c r="H25" s="15"/>
    </row>
    <row r="26" spans="2:11">
      <c r="B26" s="10"/>
      <c r="C26" s="10"/>
      <c r="D26" s="25"/>
      <c r="E26" s="10"/>
      <c r="F26" s="18"/>
      <c r="G26" s="18"/>
      <c r="H26" s="15"/>
    </row>
    <row r="27" spans="2:11">
      <c r="B27" s="10"/>
      <c r="C27" s="10"/>
      <c r="D27" s="25"/>
      <c r="E27" s="10"/>
      <c r="F27" s="18"/>
      <c r="G27" s="18"/>
      <c r="H27" s="15"/>
    </row>
    <row r="28" spans="2:11">
      <c r="B28" s="10"/>
      <c r="C28" s="10"/>
      <c r="D28" s="25"/>
      <c r="F28" s="18"/>
      <c r="G28" s="18"/>
      <c r="H28" s="15"/>
    </row>
    <row r="29" spans="2:11">
      <c r="B29" s="10"/>
      <c r="C29" s="6"/>
      <c r="D29" s="46"/>
      <c r="F29" s="18"/>
      <c r="G29" s="18"/>
      <c r="H29" s="15"/>
    </row>
    <row r="30" spans="2:11" ht="32">
      <c r="B30" s="10"/>
      <c r="C30" s="6" t="s">
        <v>39</v>
      </c>
      <c r="D30" s="46" t="s">
        <v>167</v>
      </c>
      <c r="F30" s="18"/>
      <c r="G30" s="18"/>
    </row>
    <row r="31" spans="2:11" ht="32">
      <c r="B31" s="10"/>
      <c r="C31" s="48" t="s">
        <v>40</v>
      </c>
      <c r="D31" s="49" t="s">
        <v>167</v>
      </c>
      <c r="G31" s="18"/>
    </row>
    <row r="32" spans="2:11">
      <c r="B32" s="10"/>
      <c r="C32" s="10"/>
      <c r="D32" s="47"/>
      <c r="G32" s="18"/>
    </row>
    <row r="33" spans="2:7">
      <c r="B33" s="10"/>
      <c r="C33" s="10"/>
      <c r="D33" s="47"/>
      <c r="G33" s="18"/>
    </row>
    <row r="34" spans="2:7" ht="32">
      <c r="B34" s="10"/>
      <c r="C34" s="50" t="s">
        <v>43</v>
      </c>
      <c r="D34" s="51" t="s">
        <v>167</v>
      </c>
      <c r="E34" s="11" t="s">
        <v>252</v>
      </c>
    </row>
    <row r="35" spans="2:7" ht="32">
      <c r="C35" s="52" t="s">
        <v>44</v>
      </c>
      <c r="D35" s="46" t="s">
        <v>167</v>
      </c>
    </row>
    <row r="36" spans="2:7" ht="32">
      <c r="C36" s="53" t="s">
        <v>45</v>
      </c>
      <c r="D36" s="46" t="s">
        <v>167</v>
      </c>
    </row>
    <row r="37" spans="2:7" ht="32">
      <c r="C37" s="53" t="s">
        <v>46</v>
      </c>
      <c r="D37" s="46" t="s">
        <v>167</v>
      </c>
    </row>
    <row r="38" spans="2:7" ht="32">
      <c r="C38" s="52" t="s">
        <v>47</v>
      </c>
      <c r="D38" s="46" t="s">
        <v>167</v>
      </c>
    </row>
    <row r="39" spans="2:7">
      <c r="C39" s="6"/>
      <c r="D39" s="46"/>
    </row>
    <row r="40" spans="2:7">
      <c r="D40" s="46"/>
    </row>
    <row r="41" spans="2:7">
      <c r="D41" s="46"/>
    </row>
    <row r="42" spans="2:7" ht="32">
      <c r="C42" s="11" t="s">
        <v>159</v>
      </c>
      <c r="D42" s="46" t="s">
        <v>160</v>
      </c>
    </row>
    <row r="43" spans="2:7">
      <c r="D43" s="46"/>
    </row>
    <row r="44" spans="2:7" ht="16">
      <c r="C44" s="11" t="s">
        <v>161</v>
      </c>
      <c r="D44" s="46" t="s">
        <v>162</v>
      </c>
    </row>
    <row r="45" spans="2:7" ht="16">
      <c r="C45" s="11" t="s">
        <v>163</v>
      </c>
      <c r="D45" s="46" t="s">
        <v>162</v>
      </c>
    </row>
    <row r="46" spans="2:7">
      <c r="D46" s="46"/>
    </row>
    <row r="47" spans="2:7" ht="16">
      <c r="C47" s="11" t="s">
        <v>164</v>
      </c>
      <c r="D47" s="46" t="s">
        <v>162</v>
      </c>
    </row>
    <row r="48" spans="2:7" ht="16">
      <c r="C48" s="11" t="s">
        <v>165</v>
      </c>
      <c r="D48" s="46" t="s">
        <v>162</v>
      </c>
    </row>
    <row r="49" spans="3:4" ht="16">
      <c r="C49" s="11" t="s">
        <v>166</v>
      </c>
      <c r="D49" s="46" t="s">
        <v>162</v>
      </c>
    </row>
    <row r="50" spans="3:4">
      <c r="D50" s="46"/>
    </row>
    <row r="51" spans="3:4">
      <c r="D51" s="46"/>
    </row>
    <row r="52" spans="3:4">
      <c r="D52" s="46"/>
    </row>
    <row r="53" spans="3:4">
      <c r="C53" s="6" t="s">
        <v>37</v>
      </c>
      <c r="D53" s="46"/>
    </row>
    <row r="54" spans="3:4">
      <c r="C54" s="33" t="s">
        <v>124</v>
      </c>
      <c r="D54" s="46"/>
    </row>
    <row r="55" spans="3:4">
      <c r="D55" s="46"/>
    </row>
    <row r="56" spans="3:4">
      <c r="D56" s="46"/>
    </row>
    <row r="57" spans="3:4">
      <c r="D57" s="46"/>
    </row>
    <row r="58" spans="3:4" ht="48">
      <c r="C58" s="11" t="s">
        <v>180</v>
      </c>
      <c r="D58" s="46" t="s">
        <v>181</v>
      </c>
    </row>
    <row r="59" spans="3:4">
      <c r="D59" s="46"/>
    </row>
    <row r="60" spans="3:4" ht="32">
      <c r="C60" s="11" t="s">
        <v>125</v>
      </c>
      <c r="D60" s="46" t="s">
        <v>182</v>
      </c>
    </row>
    <row r="61" spans="3:4">
      <c r="D61" s="46"/>
    </row>
    <row r="62" spans="3:4" ht="32">
      <c r="C62" s="11" t="s">
        <v>183</v>
      </c>
      <c r="D62" s="46" t="s">
        <v>184</v>
      </c>
    </row>
    <row r="63" spans="3:4" ht="32">
      <c r="C63" s="11" t="s">
        <v>185</v>
      </c>
      <c r="D63" s="46" t="s">
        <v>186</v>
      </c>
    </row>
    <row r="64" spans="3:4">
      <c r="D64" s="46"/>
    </row>
    <row r="65" spans="4:4">
      <c r="D65" s="46"/>
    </row>
    <row r="66" spans="4:4">
      <c r="D66" s="46"/>
    </row>
    <row r="67" spans="4:4">
      <c r="D67" s="46"/>
    </row>
    <row r="68" spans="4:4">
      <c r="D68" s="46"/>
    </row>
    <row r="69" spans="4:4">
      <c r="D69" s="46"/>
    </row>
    <row r="70" spans="4:4">
      <c r="D70" s="46"/>
    </row>
    <row r="71" spans="4:4">
      <c r="D71" s="46"/>
    </row>
    <row r="72" spans="4:4">
      <c r="D72" s="46"/>
    </row>
    <row r="73" spans="4:4">
      <c r="D73" s="46"/>
    </row>
    <row r="74" spans="4:4">
      <c r="D74" s="46"/>
    </row>
    <row r="75" spans="4:4">
      <c r="D75" s="46"/>
    </row>
    <row r="76" spans="4:4">
      <c r="D76" s="46"/>
    </row>
    <row r="77" spans="4:4">
      <c r="D77" s="46"/>
    </row>
    <row r="78" spans="4:4">
      <c r="D78" s="46"/>
    </row>
    <row r="79" spans="4:4">
      <c r="D79" s="46"/>
    </row>
    <row r="80" spans="4:4">
      <c r="D80" s="46"/>
    </row>
    <row r="81" spans="4:4">
      <c r="D81" s="46"/>
    </row>
    <row r="82" spans="4:4">
      <c r="D82" s="46"/>
    </row>
    <row r="83" spans="4:4">
      <c r="D83" s="46"/>
    </row>
    <row r="84" spans="4:4">
      <c r="D84" s="46"/>
    </row>
    <row r="85" spans="4:4">
      <c r="D85" s="46"/>
    </row>
    <row r="86" spans="4:4">
      <c r="D86" s="46"/>
    </row>
    <row r="87" spans="4:4">
      <c r="D87" s="46"/>
    </row>
    <row r="88" spans="4:4">
      <c r="D88" s="46"/>
    </row>
    <row r="89" spans="4:4">
      <c r="D89" s="46"/>
    </row>
    <row r="90" spans="4:4">
      <c r="D90" s="46"/>
    </row>
    <row r="91" spans="4:4">
      <c r="D91" s="46"/>
    </row>
    <row r="92" spans="4:4">
      <c r="D92" s="46"/>
    </row>
    <row r="93" spans="4:4">
      <c r="D93" s="46"/>
    </row>
    <row r="94" spans="4:4">
      <c r="D94" s="46"/>
    </row>
    <row r="95" spans="4:4">
      <c r="D95" s="46"/>
    </row>
    <row r="96" spans="4:4">
      <c r="D96" s="46"/>
    </row>
    <row r="97" spans="4:4">
      <c r="D97" s="46"/>
    </row>
    <row r="98" spans="4:4">
      <c r="D98" s="46"/>
    </row>
    <row r="99" spans="4:4">
      <c r="D99" s="46"/>
    </row>
    <row r="100" spans="4:4">
      <c r="D100" s="46"/>
    </row>
    <row r="101" spans="4:4">
      <c r="D101" s="46"/>
    </row>
    <row r="102" spans="4:4">
      <c r="D102" s="46"/>
    </row>
    <row r="103" spans="4:4">
      <c r="D103" s="46"/>
    </row>
    <row r="104" spans="4:4">
      <c r="D104" s="46"/>
    </row>
    <row r="105" spans="4:4">
      <c r="D105" s="46"/>
    </row>
    <row r="106" spans="4:4">
      <c r="D106" s="46"/>
    </row>
    <row r="107" spans="4:4">
      <c r="D107" s="46"/>
    </row>
    <row r="108" spans="4:4">
      <c r="D108" s="46"/>
    </row>
    <row r="109" spans="4:4">
      <c r="D109" s="46"/>
    </row>
    <row r="110" spans="4:4">
      <c r="D110" s="46"/>
    </row>
    <row r="111" spans="4:4">
      <c r="D111" s="46"/>
    </row>
    <row r="112" spans="4:4">
      <c r="D112" s="46"/>
    </row>
    <row r="113" spans="4:4">
      <c r="D113" s="46"/>
    </row>
  </sheetData>
  <conditionalFormatting sqref="I3:I16">
    <cfRule type="beginsWith" dxfId="103" priority="1" operator="beginsWith" text="Not">
      <formula>LEFT(I3,LEN("Not"))="Not"</formula>
    </cfRule>
    <cfRule type="beginsWith" dxfId="102"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B2:J23"/>
  <sheetViews>
    <sheetView workbookViewId="0">
      <selection activeCell="H27" sqref="H27"/>
    </sheetView>
  </sheetViews>
  <sheetFormatPr baseColWidth="10" defaultColWidth="8.83203125" defaultRowHeight="15"/>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c r="B2" s="1" t="s">
        <v>20</v>
      </c>
      <c r="C2" s="2" t="s">
        <v>12</v>
      </c>
      <c r="D2" s="2" t="s">
        <v>13</v>
      </c>
      <c r="E2" s="2" t="s">
        <v>14</v>
      </c>
      <c r="F2" s="3" t="s">
        <v>15</v>
      </c>
      <c r="G2" s="3" t="s">
        <v>16</v>
      </c>
      <c r="H2" s="3" t="s">
        <v>17</v>
      </c>
      <c r="I2" s="3" t="s">
        <v>18</v>
      </c>
      <c r="J2" s="5" t="s">
        <v>19</v>
      </c>
    </row>
    <row r="3" spans="2:10">
      <c r="B3" s="8" t="s">
        <v>27</v>
      </c>
      <c r="C3" s="4" t="s">
        <v>55</v>
      </c>
      <c r="D3" s="4" t="s">
        <v>55</v>
      </c>
      <c r="E3" s="4" t="s">
        <v>55</v>
      </c>
      <c r="F3" s="4" t="s">
        <v>107</v>
      </c>
      <c r="G3" s="4" t="s">
        <v>107</v>
      </c>
      <c r="H3" s="4" t="s">
        <v>107</v>
      </c>
      <c r="I3" s="4" t="s">
        <v>107</v>
      </c>
      <c r="J3" s="4" t="s">
        <v>30</v>
      </c>
    </row>
    <row r="4" spans="2:10">
      <c r="B4" s="6" t="s">
        <v>31</v>
      </c>
      <c r="C4" s="4" t="s">
        <v>55</v>
      </c>
      <c r="D4" s="4" t="s">
        <v>55</v>
      </c>
      <c r="E4" s="4" t="s">
        <v>55</v>
      </c>
      <c r="F4" s="4" t="s">
        <v>107</v>
      </c>
      <c r="G4" s="4" t="s">
        <v>107</v>
      </c>
      <c r="H4" s="4" t="s">
        <v>107</v>
      </c>
      <c r="I4" s="4" t="s">
        <v>107</v>
      </c>
      <c r="J4" s="4" t="s">
        <v>30</v>
      </c>
    </row>
    <row r="5" spans="2:10">
      <c r="B5" s="6" t="s">
        <v>49</v>
      </c>
      <c r="C5" s="4" t="s">
        <v>55</v>
      </c>
      <c r="D5" s="4" t="s">
        <v>55</v>
      </c>
      <c r="E5" s="4" t="s">
        <v>192</v>
      </c>
      <c r="F5" s="4" t="s">
        <v>107</v>
      </c>
      <c r="G5" s="4" t="s">
        <v>107</v>
      </c>
      <c r="H5" s="4" t="s">
        <v>107</v>
      </c>
      <c r="I5" s="4" t="s">
        <v>107</v>
      </c>
      <c r="J5" s="4" t="s">
        <v>30</v>
      </c>
    </row>
    <row r="6" spans="2:10">
      <c r="B6" s="6" t="s">
        <v>38</v>
      </c>
      <c r="C6" s="4" t="s">
        <v>55</v>
      </c>
      <c r="D6" s="4" t="s">
        <v>107</v>
      </c>
      <c r="E6" s="4" t="s">
        <v>55</v>
      </c>
      <c r="F6" s="4" t="s">
        <v>55</v>
      </c>
      <c r="G6" s="4" t="s">
        <v>107</v>
      </c>
      <c r="H6" s="4" t="s">
        <v>107</v>
      </c>
      <c r="I6" s="4" t="s">
        <v>107</v>
      </c>
      <c r="J6" s="4" t="s">
        <v>106</v>
      </c>
    </row>
    <row r="7" spans="2:10">
      <c r="B7" s="8" t="s">
        <v>32</v>
      </c>
      <c r="C7" s="4" t="s">
        <v>55</v>
      </c>
      <c r="D7" s="4" t="s">
        <v>55</v>
      </c>
      <c r="E7" s="4" t="s">
        <v>55</v>
      </c>
      <c r="F7" s="4" t="s">
        <v>107</v>
      </c>
      <c r="G7" s="4" t="s">
        <v>107</v>
      </c>
      <c r="H7" s="4" t="s">
        <v>107</v>
      </c>
      <c r="I7" s="4" t="s">
        <v>107</v>
      </c>
      <c r="J7" s="4" t="s">
        <v>30</v>
      </c>
    </row>
    <row r="8" spans="2:10">
      <c r="B8" s="30" t="s">
        <v>104</v>
      </c>
      <c r="C8" s="4" t="s">
        <v>55</v>
      </c>
      <c r="D8" s="4" t="s">
        <v>107</v>
      </c>
      <c r="E8" s="4" t="s">
        <v>55</v>
      </c>
      <c r="F8" s="4" t="s">
        <v>55</v>
      </c>
      <c r="G8" s="4" t="s">
        <v>107</v>
      </c>
      <c r="H8" s="4" t="s">
        <v>107</v>
      </c>
      <c r="I8" s="4" t="s">
        <v>107</v>
      </c>
      <c r="J8" s="4" t="s">
        <v>106</v>
      </c>
    </row>
    <row r="9" spans="2:10">
      <c r="B9" s="30" t="s">
        <v>100</v>
      </c>
      <c r="C9" s="4"/>
      <c r="D9" s="4" t="s">
        <v>107</v>
      </c>
      <c r="E9" s="4" t="s">
        <v>55</v>
      </c>
      <c r="F9" s="4" t="s">
        <v>55</v>
      </c>
      <c r="G9" s="4" t="s">
        <v>107</v>
      </c>
      <c r="H9" s="4" t="s">
        <v>107</v>
      </c>
      <c r="I9" s="4" t="s">
        <v>107</v>
      </c>
      <c r="J9" s="4" t="s">
        <v>106</v>
      </c>
    </row>
    <row r="10" spans="2:10">
      <c r="B10" s="30" t="s">
        <v>222</v>
      </c>
      <c r="C10" s="4" t="s">
        <v>55</v>
      </c>
      <c r="D10" s="4" t="s">
        <v>55</v>
      </c>
      <c r="E10" s="4" t="s">
        <v>55</v>
      </c>
      <c r="F10" s="4" t="s">
        <v>107</v>
      </c>
      <c r="G10" s="4" t="s">
        <v>107</v>
      </c>
      <c r="H10" s="4" t="s">
        <v>107</v>
      </c>
      <c r="I10" s="4" t="s">
        <v>107</v>
      </c>
      <c r="J10" s="4" t="s">
        <v>30</v>
      </c>
    </row>
    <row r="11" spans="2:10">
      <c r="B11" s="30" t="s">
        <v>312</v>
      </c>
      <c r="C11" s="4" t="s">
        <v>55</v>
      </c>
      <c r="D11" s="4" t="s">
        <v>55</v>
      </c>
      <c r="E11" s="4" t="s">
        <v>55</v>
      </c>
      <c r="F11" s="4" t="s">
        <v>107</v>
      </c>
      <c r="G11" s="4" t="s">
        <v>107</v>
      </c>
      <c r="H11" s="4" t="s">
        <v>107</v>
      </c>
      <c r="I11" s="4" t="s">
        <v>107</v>
      </c>
      <c r="J11" s="4" t="s">
        <v>30</v>
      </c>
    </row>
    <row r="12" spans="2:10">
      <c r="B12" s="30" t="s">
        <v>42</v>
      </c>
      <c r="C12" s="4" t="s">
        <v>55</v>
      </c>
      <c r="D12" s="4" t="s">
        <v>55</v>
      </c>
      <c r="E12" s="4" t="s">
        <v>55</v>
      </c>
      <c r="F12" s="4" t="s">
        <v>107</v>
      </c>
      <c r="G12" s="4" t="s">
        <v>107</v>
      </c>
      <c r="H12" s="4" t="s">
        <v>107</v>
      </c>
      <c r="I12" s="4" t="s">
        <v>107</v>
      </c>
      <c r="J12" s="4" t="s">
        <v>30</v>
      </c>
    </row>
    <row r="13" spans="2:10">
      <c r="B13" s="30"/>
      <c r="C13" s="4"/>
      <c r="D13" s="4"/>
      <c r="E13" s="4"/>
      <c r="F13" s="4"/>
      <c r="G13" s="4"/>
      <c r="H13" s="4"/>
      <c r="I13" s="4"/>
      <c r="J13" s="4"/>
    </row>
    <row r="14" spans="2:10">
      <c r="B14" s="30"/>
      <c r="C14" s="4"/>
      <c r="D14" s="4"/>
      <c r="E14" s="4"/>
      <c r="F14" s="4"/>
      <c r="G14" s="4"/>
      <c r="H14" s="4"/>
      <c r="I14" s="4"/>
      <c r="J14" s="4"/>
    </row>
    <row r="15" spans="2:10">
      <c r="B15" s="30"/>
      <c r="C15" s="4"/>
      <c r="D15" s="4"/>
      <c r="E15" s="4"/>
      <c r="F15" s="4"/>
      <c r="G15" s="4"/>
      <c r="H15" s="4"/>
      <c r="I15" s="4"/>
      <c r="J15" s="4"/>
    </row>
    <row r="16" spans="2:10">
      <c r="B16" s="30"/>
      <c r="C16" s="4"/>
      <c r="D16" s="4"/>
      <c r="E16" s="4"/>
      <c r="F16" s="4"/>
      <c r="G16" s="4"/>
      <c r="H16" s="4"/>
      <c r="I16" s="4"/>
      <c r="J16" s="4"/>
    </row>
    <row r="17" spans="2:10">
      <c r="B17" s="30"/>
      <c r="C17" s="4"/>
      <c r="D17" s="4"/>
      <c r="E17" s="4"/>
      <c r="F17" s="4"/>
      <c r="G17" s="4"/>
      <c r="H17" s="4"/>
      <c r="I17" s="4"/>
      <c r="J17" s="4"/>
    </row>
    <row r="18" spans="2:10">
      <c r="B18" s="30"/>
      <c r="C18" s="4"/>
      <c r="D18" s="4"/>
      <c r="E18" s="4"/>
      <c r="F18" s="4"/>
      <c r="G18" s="4"/>
      <c r="H18" s="4"/>
      <c r="I18" s="4"/>
      <c r="J18" s="4"/>
    </row>
    <row r="19" spans="2:10">
      <c r="B19" s="30"/>
      <c r="C19" s="4"/>
      <c r="D19" s="4"/>
      <c r="E19" s="4"/>
      <c r="F19" s="4"/>
      <c r="G19" s="4"/>
      <c r="H19" s="4"/>
      <c r="I19" s="4"/>
      <c r="J19" s="4"/>
    </row>
    <row r="20" spans="2:10">
      <c r="B20" s="30"/>
      <c r="C20" s="4"/>
      <c r="D20" s="4"/>
      <c r="E20" s="4"/>
      <c r="F20" s="4"/>
      <c r="G20" s="4"/>
      <c r="H20" s="4"/>
      <c r="I20" s="4"/>
      <c r="J20" s="4"/>
    </row>
    <row r="21" spans="2:10">
      <c r="B21" s="30"/>
      <c r="C21" s="4"/>
      <c r="D21" s="4"/>
      <c r="E21" s="4"/>
      <c r="F21" s="4"/>
      <c r="G21" s="4"/>
      <c r="H21" s="4"/>
      <c r="I21" s="4"/>
      <c r="J21" s="4"/>
    </row>
    <row r="22" spans="2:10">
      <c r="B22" s="31"/>
    </row>
    <row r="23" spans="2:10">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30"/>
  <sheetViews>
    <sheetView topLeftCell="A7" zoomScale="75" zoomScaleNormal="100" workbookViewId="0">
      <selection activeCell="U49" sqref="U49"/>
    </sheetView>
  </sheetViews>
  <sheetFormatPr baseColWidth="10" defaultColWidth="8.83203125" defaultRowHeight="15"/>
  <cols>
    <col min="1" max="1" width="9.33203125" customWidth="1"/>
    <col min="2" max="2" width="20.5" bestFit="1" customWidth="1"/>
    <col min="3" max="3" width="16.1640625" bestFit="1" customWidth="1"/>
    <col min="4" max="4" width="8.83203125" bestFit="1" customWidth="1"/>
    <col min="5" max="6" width="9.83203125" bestFit="1" customWidth="1"/>
    <col min="7" max="7" width="8.83203125" bestFit="1" customWidth="1"/>
    <col min="8" max="8" width="8.5" bestFit="1" customWidth="1"/>
    <col min="9" max="9" width="19.5" bestFit="1" customWidth="1"/>
    <col min="10" max="10" width="8.33203125" bestFit="1" customWidth="1"/>
    <col min="11" max="11" width="9.6640625" bestFit="1" customWidth="1"/>
    <col min="12" max="12" width="5.5" bestFit="1" customWidth="1"/>
    <col min="13" max="13" width="6.1640625" bestFit="1" customWidth="1"/>
    <col min="14" max="14" width="22.83203125" bestFit="1" customWidth="1"/>
    <col min="15" max="15" width="27.6640625" bestFit="1" customWidth="1"/>
    <col min="16" max="16" width="22.1640625" bestFit="1" customWidth="1"/>
    <col min="17" max="17" width="18.1640625" bestFit="1" customWidth="1"/>
    <col min="18" max="18" width="28.83203125" bestFit="1" customWidth="1"/>
    <col min="19" max="19" width="31.1640625" bestFit="1" customWidth="1"/>
    <col min="20" max="20" width="31.5" bestFit="1" customWidth="1"/>
    <col min="21" max="21" width="25.6640625" customWidth="1"/>
    <col min="22" max="22" width="20.5" customWidth="1"/>
    <col min="23" max="23" width="32.1640625" customWidth="1"/>
    <col min="24" max="24" width="28.5" customWidth="1"/>
    <col min="25" max="25" width="21.83203125" customWidth="1"/>
    <col min="26" max="26" width="8.83203125" bestFit="1" customWidth="1"/>
    <col min="27" max="27" width="7.5" bestFit="1" customWidth="1"/>
    <col min="28" max="28" width="8.83203125" bestFit="1" customWidth="1"/>
    <col min="29" max="29" width="12.5" bestFit="1" customWidth="1"/>
    <col min="30" max="30" width="9.5" bestFit="1" customWidth="1"/>
    <col min="31" max="31" width="14" customWidth="1"/>
    <col min="32" max="32" width="11" customWidth="1"/>
    <col min="33" max="33" width="16.83203125" bestFit="1" customWidth="1"/>
    <col min="34" max="35" width="15.83203125" bestFit="1" customWidth="1"/>
    <col min="36" max="36" width="18.1640625" bestFit="1" customWidth="1"/>
    <col min="37" max="37" width="20.83203125" bestFit="1" customWidth="1"/>
    <col min="38" max="38" width="18.1640625" bestFit="1" customWidth="1"/>
    <col min="39" max="39" width="25.5" bestFit="1" customWidth="1"/>
    <col min="40" max="40" width="19.83203125" bestFit="1" customWidth="1"/>
    <col min="41" max="41" width="31.5" bestFit="1" customWidth="1"/>
    <col min="42" max="42" width="46.1640625" bestFit="1" customWidth="1"/>
    <col min="43" max="43" width="30.1640625" bestFit="1" customWidth="1"/>
    <col min="44" max="44" width="29" bestFit="1" customWidth="1"/>
  </cols>
  <sheetData>
    <row r="2" spans="2:43" ht="24">
      <c r="B2" s="102" t="s">
        <v>20</v>
      </c>
      <c r="C2" s="109" t="s">
        <v>4</v>
      </c>
      <c r="D2" s="110"/>
      <c r="E2" s="110"/>
      <c r="F2" s="110"/>
      <c r="G2" s="110"/>
      <c r="H2" s="110"/>
      <c r="I2" s="110"/>
      <c r="J2" s="110"/>
      <c r="K2" s="110"/>
      <c r="L2" s="110"/>
      <c r="M2" s="110"/>
      <c r="N2" s="110"/>
      <c r="O2" s="110"/>
      <c r="P2" s="92" t="s">
        <v>5</v>
      </c>
      <c r="Q2" s="93"/>
      <c r="R2" s="93"/>
      <c r="S2" s="93"/>
      <c r="T2" s="93"/>
      <c r="U2" s="93"/>
      <c r="V2" s="94"/>
      <c r="W2" s="119" t="s">
        <v>7</v>
      </c>
      <c r="X2" s="120"/>
      <c r="Y2" s="121"/>
      <c r="Z2" s="122" t="s">
        <v>9</v>
      </c>
      <c r="AA2" s="123"/>
      <c r="AB2" s="123"/>
      <c r="AC2" s="123"/>
      <c r="AD2" s="123"/>
      <c r="AE2" s="123"/>
      <c r="AF2" s="123"/>
      <c r="AG2" s="123"/>
      <c r="AH2" s="123"/>
      <c r="AI2" s="123"/>
      <c r="AJ2" s="123"/>
      <c r="AK2" s="123"/>
      <c r="AL2" s="124"/>
      <c r="AM2" s="125" t="s">
        <v>10</v>
      </c>
      <c r="AN2" s="126"/>
      <c r="AO2" s="126"/>
      <c r="AP2" s="126"/>
      <c r="AQ2" s="127"/>
    </row>
    <row r="3" spans="2:43" ht="24">
      <c r="B3" s="102"/>
      <c r="C3" s="104" t="s">
        <v>26</v>
      </c>
      <c r="D3" s="105"/>
      <c r="E3" s="105"/>
      <c r="F3" s="105"/>
      <c r="G3" s="105"/>
      <c r="H3" s="105"/>
      <c r="I3" s="106"/>
      <c r="J3" s="107" t="s">
        <v>2</v>
      </c>
      <c r="K3" s="108"/>
      <c r="L3" s="108"/>
      <c r="M3" s="108"/>
      <c r="N3" s="111" t="s">
        <v>3</v>
      </c>
      <c r="O3" s="113" t="s">
        <v>69</v>
      </c>
      <c r="P3" s="95" t="s">
        <v>70</v>
      </c>
      <c r="Q3" s="96"/>
      <c r="R3" s="96"/>
      <c r="S3" s="97"/>
      <c r="T3" s="115" t="s">
        <v>114</v>
      </c>
      <c r="U3" s="117" t="s">
        <v>71</v>
      </c>
      <c r="V3" s="115" t="s">
        <v>6</v>
      </c>
      <c r="W3" s="134" t="s">
        <v>72</v>
      </c>
      <c r="X3" s="136" t="s">
        <v>73</v>
      </c>
      <c r="Y3" s="134" t="s">
        <v>74</v>
      </c>
      <c r="Z3" s="132" t="s">
        <v>64</v>
      </c>
      <c r="AA3" s="132"/>
      <c r="AB3" s="132"/>
      <c r="AC3" s="132"/>
      <c r="AD3" s="133" t="s">
        <v>65</v>
      </c>
      <c r="AE3" s="133"/>
      <c r="AF3" s="133"/>
      <c r="AG3" s="133"/>
      <c r="AH3" s="128" t="s">
        <v>75</v>
      </c>
      <c r="AI3" s="130" t="s">
        <v>8</v>
      </c>
      <c r="AJ3" s="128" t="s">
        <v>76</v>
      </c>
      <c r="AK3" s="130" t="s">
        <v>77</v>
      </c>
      <c r="AL3" s="128" t="s">
        <v>78</v>
      </c>
      <c r="AM3" s="98" t="s">
        <v>79</v>
      </c>
      <c r="AN3" s="100" t="s">
        <v>80</v>
      </c>
      <c r="AO3" s="98" t="s">
        <v>81</v>
      </c>
      <c r="AP3" s="100" t="s">
        <v>99</v>
      </c>
      <c r="AQ3" s="98" t="s">
        <v>82</v>
      </c>
    </row>
    <row r="4" spans="2:43" ht="81" thickBot="1">
      <c r="B4" s="103"/>
      <c r="C4" s="32" t="s">
        <v>56</v>
      </c>
      <c r="D4" s="32" t="s">
        <v>57</v>
      </c>
      <c r="E4" s="32" t="s">
        <v>58</v>
      </c>
      <c r="F4" s="32" t="s">
        <v>116</v>
      </c>
      <c r="G4" s="23" t="s">
        <v>117</v>
      </c>
      <c r="H4" s="23" t="s">
        <v>59</v>
      </c>
      <c r="I4" s="23" t="s">
        <v>131</v>
      </c>
      <c r="J4" s="37" t="s">
        <v>86</v>
      </c>
      <c r="K4" s="37" t="s">
        <v>87</v>
      </c>
      <c r="L4" s="37" t="s">
        <v>110</v>
      </c>
      <c r="M4" s="37" t="s">
        <v>61</v>
      </c>
      <c r="N4" s="112"/>
      <c r="O4" s="114"/>
      <c r="P4" s="20" t="s">
        <v>88</v>
      </c>
      <c r="Q4" s="20" t="s">
        <v>89</v>
      </c>
      <c r="R4" s="20" t="s">
        <v>90</v>
      </c>
      <c r="S4" s="20" t="s">
        <v>199</v>
      </c>
      <c r="T4" s="116"/>
      <c r="U4" s="118"/>
      <c r="V4" s="116"/>
      <c r="W4" s="135"/>
      <c r="X4" s="137"/>
      <c r="Y4" s="135"/>
      <c r="Z4" s="24" t="s">
        <v>85</v>
      </c>
      <c r="AA4" s="24" t="s">
        <v>68</v>
      </c>
      <c r="AB4" s="24" t="s">
        <v>84</v>
      </c>
      <c r="AC4" s="24" t="s">
        <v>83</v>
      </c>
      <c r="AD4" s="39" t="s">
        <v>66</v>
      </c>
      <c r="AE4" s="39" t="s">
        <v>62</v>
      </c>
      <c r="AF4" s="39" t="s">
        <v>67</v>
      </c>
      <c r="AG4" s="39" t="s">
        <v>248</v>
      </c>
      <c r="AH4" s="129"/>
      <c r="AI4" s="131"/>
      <c r="AJ4" s="129"/>
      <c r="AK4" s="131"/>
      <c r="AL4" s="129"/>
      <c r="AM4" s="99"/>
      <c r="AN4" s="101"/>
      <c r="AO4" s="99"/>
      <c r="AP4" s="101"/>
      <c r="AQ4" s="99"/>
    </row>
    <row r="5" spans="2:43" s="36" customFormat="1" ht="177" thickTop="1">
      <c r="B5" s="40" t="s">
        <v>27</v>
      </c>
      <c r="C5" s="34" t="s">
        <v>132</v>
      </c>
      <c r="D5" s="34" t="s">
        <v>132</v>
      </c>
      <c r="E5" s="34" t="s">
        <v>60</v>
      </c>
      <c r="F5" s="34" t="s">
        <v>107</v>
      </c>
      <c r="G5" s="35" t="s">
        <v>107</v>
      </c>
      <c r="H5" s="35" t="s">
        <v>107</v>
      </c>
      <c r="I5" s="34" t="s">
        <v>60</v>
      </c>
      <c r="J5" s="34" t="s">
        <v>60</v>
      </c>
      <c r="K5" s="34" t="s">
        <v>60</v>
      </c>
      <c r="L5" s="34" t="s">
        <v>60</v>
      </c>
      <c r="M5" s="34" t="s">
        <v>60</v>
      </c>
      <c r="N5" s="35" t="s">
        <v>109</v>
      </c>
      <c r="O5" s="35" t="s">
        <v>136</v>
      </c>
      <c r="P5" s="34" t="s">
        <v>112</v>
      </c>
      <c r="Q5" s="34" t="s">
        <v>111</v>
      </c>
      <c r="R5" s="34" t="s">
        <v>205</v>
      </c>
      <c r="S5" s="35" t="s">
        <v>200</v>
      </c>
      <c r="T5" s="35" t="s">
        <v>115</v>
      </c>
      <c r="U5" s="35" t="s">
        <v>130</v>
      </c>
      <c r="V5" s="35" t="s">
        <v>126</v>
      </c>
      <c r="W5" s="35" t="s">
        <v>113</v>
      </c>
      <c r="X5" s="35" t="s">
        <v>148</v>
      </c>
      <c r="Y5" s="35" t="s">
        <v>149</v>
      </c>
      <c r="Z5" s="35" t="s">
        <v>122</v>
      </c>
      <c r="AA5" s="35" t="s">
        <v>60</v>
      </c>
      <c r="AB5" s="35" t="s">
        <v>107</v>
      </c>
      <c r="AC5" s="35" t="s">
        <v>107</v>
      </c>
      <c r="AD5" s="35" t="s">
        <v>121</v>
      </c>
      <c r="AE5" s="35" t="s">
        <v>123</v>
      </c>
      <c r="AF5" s="35" t="s">
        <v>107</v>
      </c>
      <c r="AG5" s="35" t="s">
        <v>118</v>
      </c>
      <c r="AH5" s="35" t="s">
        <v>135</v>
      </c>
      <c r="AI5" s="35" t="s">
        <v>60</v>
      </c>
      <c r="AJ5" s="35" t="s">
        <v>128</v>
      </c>
      <c r="AK5" s="35" t="s">
        <v>107</v>
      </c>
      <c r="AL5" s="35" t="s">
        <v>107</v>
      </c>
      <c r="AM5" s="35" t="s">
        <v>120</v>
      </c>
      <c r="AN5" s="35" t="s">
        <v>119</v>
      </c>
      <c r="AO5" s="35" t="s">
        <v>143</v>
      </c>
      <c r="AP5" s="35" t="s">
        <v>129</v>
      </c>
      <c r="AQ5" s="34" t="s">
        <v>134</v>
      </c>
    </row>
    <row r="6" spans="2:43" s="36" customFormat="1" ht="176">
      <c r="B6" s="41" t="s">
        <v>31</v>
      </c>
      <c r="C6" s="34" t="s">
        <v>132</v>
      </c>
      <c r="D6" s="34" t="s">
        <v>132</v>
      </c>
      <c r="E6" s="34" t="s">
        <v>133</v>
      </c>
      <c r="F6" s="38" t="s">
        <v>107</v>
      </c>
      <c r="G6" s="34" t="s">
        <v>107</v>
      </c>
      <c r="H6" s="34" t="s">
        <v>107</v>
      </c>
      <c r="I6" s="34" t="s">
        <v>140</v>
      </c>
      <c r="J6" s="34" t="s">
        <v>60</v>
      </c>
      <c r="K6" s="34" t="s">
        <v>107</v>
      </c>
      <c r="L6" s="34" t="s">
        <v>107</v>
      </c>
      <c r="M6" s="34" t="s">
        <v>107</v>
      </c>
      <c r="N6" s="34" t="s">
        <v>144</v>
      </c>
      <c r="O6" s="34" t="s">
        <v>137</v>
      </c>
      <c r="P6" s="34" t="s">
        <v>107</v>
      </c>
      <c r="Q6" s="34" t="s">
        <v>138</v>
      </c>
      <c r="R6" s="36" t="s">
        <v>107</v>
      </c>
      <c r="S6" s="34" t="s">
        <v>142</v>
      </c>
      <c r="T6" s="34" t="s">
        <v>139</v>
      </c>
      <c r="U6" s="34" t="s">
        <v>141</v>
      </c>
      <c r="V6" s="34"/>
      <c r="W6" s="34" t="s">
        <v>107</v>
      </c>
      <c r="X6" s="34"/>
      <c r="Y6" s="38" t="s">
        <v>147</v>
      </c>
      <c r="Z6" s="35" t="s">
        <v>122</v>
      </c>
      <c r="AA6" s="35" t="s">
        <v>60</v>
      </c>
      <c r="AB6" s="35" t="s">
        <v>107</v>
      </c>
      <c r="AC6" s="35" t="s">
        <v>107</v>
      </c>
      <c r="AD6" s="35" t="s">
        <v>121</v>
      </c>
      <c r="AE6" s="34" t="s">
        <v>107</v>
      </c>
      <c r="AF6" s="34" t="s">
        <v>107</v>
      </c>
      <c r="AG6" s="34" t="s">
        <v>107</v>
      </c>
      <c r="AH6" s="34" t="s">
        <v>150</v>
      </c>
      <c r="AI6" s="35" t="s">
        <v>60</v>
      </c>
      <c r="AJ6" s="35" t="s">
        <v>60</v>
      </c>
      <c r="AK6" s="34" t="s">
        <v>151</v>
      </c>
      <c r="AL6" s="34" t="s">
        <v>152</v>
      </c>
      <c r="AM6" s="34" t="s">
        <v>153</v>
      </c>
      <c r="AN6" s="34" t="s">
        <v>154</v>
      </c>
      <c r="AO6" s="35" t="s">
        <v>145</v>
      </c>
      <c r="AP6" s="34" t="s">
        <v>33</v>
      </c>
      <c r="AQ6" s="34" t="s">
        <v>146</v>
      </c>
    </row>
    <row r="7" spans="2:43" s="36" customFormat="1" ht="160">
      <c r="B7" s="42" t="s">
        <v>253</v>
      </c>
      <c r="C7" s="34" t="s">
        <v>60</v>
      </c>
      <c r="D7" s="34" t="s">
        <v>107</v>
      </c>
      <c r="E7" s="34" t="s">
        <v>107</v>
      </c>
      <c r="F7" s="34" t="s">
        <v>60</v>
      </c>
      <c r="G7" s="34" t="s">
        <v>107</v>
      </c>
      <c r="H7" s="34" t="s">
        <v>107</v>
      </c>
      <c r="I7" s="34" t="s">
        <v>107</v>
      </c>
      <c r="J7" s="34" t="s">
        <v>60</v>
      </c>
      <c r="K7" s="34" t="s">
        <v>60</v>
      </c>
      <c r="L7" s="34" t="s">
        <v>107</v>
      </c>
      <c r="M7" s="34" t="s">
        <v>107</v>
      </c>
      <c r="N7" s="34" t="s">
        <v>155</v>
      </c>
      <c r="O7" s="34" t="s">
        <v>188</v>
      </c>
      <c r="P7" s="38" t="s">
        <v>107</v>
      </c>
      <c r="Q7" s="34" t="s">
        <v>107</v>
      </c>
      <c r="R7" s="34" t="s">
        <v>189</v>
      </c>
      <c r="S7" s="34" t="s">
        <v>203</v>
      </c>
      <c r="T7" s="34" t="s">
        <v>204</v>
      </c>
      <c r="U7" s="34" t="s">
        <v>190</v>
      </c>
      <c r="V7" s="34"/>
      <c r="W7" s="34" t="s">
        <v>191</v>
      </c>
      <c r="X7" s="34" t="s">
        <v>190</v>
      </c>
      <c r="Y7" s="34"/>
      <c r="Z7" s="35" t="s">
        <v>60</v>
      </c>
      <c r="AA7" s="35" t="s">
        <v>60</v>
      </c>
      <c r="AB7" s="34" t="s">
        <v>107</v>
      </c>
      <c r="AC7" s="34" t="s">
        <v>107</v>
      </c>
      <c r="AD7" s="34" t="s">
        <v>60</v>
      </c>
      <c r="AE7" s="34"/>
      <c r="AF7" s="34" t="s">
        <v>107</v>
      </c>
      <c r="AG7" s="34" t="s">
        <v>107</v>
      </c>
      <c r="AH7" s="34" t="s">
        <v>113</v>
      </c>
      <c r="AI7" s="34" t="s">
        <v>113</v>
      </c>
      <c r="AJ7" s="34" t="s">
        <v>113</v>
      </c>
      <c r="AK7" s="34" t="s">
        <v>113</v>
      </c>
      <c r="AL7" s="34" t="s">
        <v>113</v>
      </c>
      <c r="AM7" s="34" t="s">
        <v>120</v>
      </c>
      <c r="AN7" s="34"/>
      <c r="AO7" s="34"/>
      <c r="AP7" s="34"/>
      <c r="AQ7" s="34"/>
    </row>
    <row r="8" spans="2:43" s="36" customFormat="1" ht="64">
      <c r="B8" s="41" t="s">
        <v>32</v>
      </c>
      <c r="C8" s="34" t="s">
        <v>132</v>
      </c>
      <c r="D8" s="34" t="s">
        <v>132</v>
      </c>
      <c r="E8" s="34" t="s">
        <v>107</v>
      </c>
      <c r="F8" s="34" t="s">
        <v>107</v>
      </c>
      <c r="G8" s="34" t="s">
        <v>107</v>
      </c>
      <c r="H8" s="34"/>
      <c r="I8" s="34" t="s">
        <v>60</v>
      </c>
      <c r="J8" s="34" t="s">
        <v>60</v>
      </c>
      <c r="K8" s="34" t="s">
        <v>107</v>
      </c>
      <c r="L8" s="43" t="s">
        <v>60</v>
      </c>
      <c r="M8" s="34" t="s">
        <v>107</v>
      </c>
      <c r="N8" s="34" t="s">
        <v>144</v>
      </c>
      <c r="O8" s="34" t="s">
        <v>187</v>
      </c>
      <c r="P8" s="34" t="s">
        <v>107</v>
      </c>
      <c r="Q8" s="34" t="s">
        <v>132</v>
      </c>
      <c r="R8" s="34" t="s">
        <v>127</v>
      </c>
      <c r="S8" s="34"/>
      <c r="T8" s="34"/>
      <c r="U8" s="43"/>
      <c r="V8" s="34"/>
      <c r="W8" s="34" t="s">
        <v>107</v>
      </c>
      <c r="X8" s="34"/>
      <c r="Y8" s="34"/>
      <c r="Z8" s="35" t="s">
        <v>156</v>
      </c>
      <c r="AA8" s="35" t="s">
        <v>60</v>
      </c>
      <c r="AB8" s="35" t="s">
        <v>107</v>
      </c>
      <c r="AC8" s="34" t="s">
        <v>107</v>
      </c>
      <c r="AD8" s="35" t="s">
        <v>60</v>
      </c>
      <c r="AE8" s="34" t="s">
        <v>107</v>
      </c>
      <c r="AF8" s="34" t="s">
        <v>107</v>
      </c>
      <c r="AG8" s="34" t="s">
        <v>107</v>
      </c>
      <c r="AH8" s="34" t="s">
        <v>157</v>
      </c>
      <c r="AI8" s="35" t="s">
        <v>60</v>
      </c>
      <c r="AJ8" s="35" t="s">
        <v>60</v>
      </c>
      <c r="AK8" s="34"/>
      <c r="AL8" s="34" t="s">
        <v>158</v>
      </c>
      <c r="AM8" s="34"/>
      <c r="AN8" s="34"/>
      <c r="AO8" s="34"/>
      <c r="AP8" s="34"/>
      <c r="AQ8" s="34"/>
    </row>
    <row r="9" spans="2:43" s="36" customFormat="1" ht="96" customHeight="1">
      <c r="B9" s="42" t="s">
        <v>196</v>
      </c>
      <c r="C9" s="19" t="s">
        <v>132</v>
      </c>
      <c r="D9" s="19" t="s">
        <v>132</v>
      </c>
      <c r="E9" s="19" t="s">
        <v>107</v>
      </c>
      <c r="F9" s="19" t="s">
        <v>107</v>
      </c>
      <c r="G9" s="19" t="s">
        <v>107</v>
      </c>
      <c r="H9" s="19" t="s">
        <v>107</v>
      </c>
      <c r="I9" s="19" t="s">
        <v>107</v>
      </c>
      <c r="J9" s="34" t="s">
        <v>60</v>
      </c>
      <c r="K9" s="19" t="s">
        <v>107</v>
      </c>
      <c r="L9" s="19" t="s">
        <v>107</v>
      </c>
      <c r="M9" s="19" t="s">
        <v>107</v>
      </c>
      <c r="N9" s="19" t="s">
        <v>197</v>
      </c>
      <c r="O9" s="34" t="s">
        <v>198</v>
      </c>
      <c r="P9" s="19" t="s">
        <v>107</v>
      </c>
      <c r="Q9" s="34" t="s">
        <v>213</v>
      </c>
      <c r="R9" s="19" t="s">
        <v>107</v>
      </c>
      <c r="S9" s="34" t="s">
        <v>202</v>
      </c>
      <c r="T9" s="19" t="s">
        <v>204</v>
      </c>
      <c r="U9" s="34" t="s">
        <v>207</v>
      </c>
      <c r="V9" s="19"/>
      <c r="W9" s="34" t="s">
        <v>224</v>
      </c>
      <c r="X9" s="19" t="s">
        <v>208</v>
      </c>
      <c r="Y9" s="34" t="s">
        <v>209</v>
      </c>
      <c r="Z9" s="35" t="s">
        <v>60</v>
      </c>
      <c r="AA9" s="35" t="s">
        <v>60</v>
      </c>
      <c r="AB9" s="19" t="s">
        <v>107</v>
      </c>
      <c r="AC9" s="19" t="s">
        <v>107</v>
      </c>
      <c r="AD9" s="35" t="s">
        <v>60</v>
      </c>
      <c r="AE9" s="19" t="s">
        <v>113</v>
      </c>
      <c r="AF9" s="19" t="s">
        <v>113</v>
      </c>
      <c r="AG9" s="19" t="s">
        <v>113</v>
      </c>
      <c r="AH9" s="19" t="s">
        <v>113</v>
      </c>
      <c r="AI9" s="19" t="s">
        <v>113</v>
      </c>
      <c r="AJ9" s="19" t="s">
        <v>113</v>
      </c>
      <c r="AK9" s="19" t="s">
        <v>113</v>
      </c>
      <c r="AL9" s="19" t="s">
        <v>113</v>
      </c>
      <c r="AM9" s="19" t="s">
        <v>120</v>
      </c>
      <c r="AN9" s="19" t="s">
        <v>218</v>
      </c>
      <c r="AO9" s="34" t="s">
        <v>210</v>
      </c>
      <c r="AP9" s="34" t="s">
        <v>177</v>
      </c>
      <c r="AQ9" s="19"/>
    </row>
    <row r="10" spans="2:43" s="36" customFormat="1" ht="128">
      <c r="B10" s="41" t="s">
        <v>48</v>
      </c>
      <c r="C10" s="19" t="s">
        <v>132</v>
      </c>
      <c r="D10" s="19" t="s">
        <v>132</v>
      </c>
      <c r="E10" s="34" t="s">
        <v>225</v>
      </c>
      <c r="F10" s="19" t="s">
        <v>107</v>
      </c>
      <c r="G10" s="19" t="s">
        <v>107</v>
      </c>
      <c r="H10" s="19" t="s">
        <v>107</v>
      </c>
      <c r="I10" s="19" t="s">
        <v>107</v>
      </c>
      <c r="J10" s="34" t="s">
        <v>60</v>
      </c>
      <c r="K10" s="19" t="s">
        <v>107</v>
      </c>
      <c r="L10" s="19" t="s">
        <v>107</v>
      </c>
      <c r="M10" s="19" t="s">
        <v>107</v>
      </c>
      <c r="N10" s="34" t="s">
        <v>220</v>
      </c>
      <c r="O10" s="19" t="s">
        <v>229</v>
      </c>
      <c r="P10" s="19" t="s">
        <v>107</v>
      </c>
      <c r="Q10" s="34" t="s">
        <v>206</v>
      </c>
      <c r="R10" s="19" t="s">
        <v>245</v>
      </c>
      <c r="S10" s="34" t="s">
        <v>230</v>
      </c>
      <c r="T10" s="19" t="s">
        <v>204</v>
      </c>
      <c r="U10" s="34" t="s">
        <v>227</v>
      </c>
      <c r="V10" s="19"/>
      <c r="W10" s="19" t="s">
        <v>113</v>
      </c>
      <c r="X10" s="34" t="s">
        <v>235</v>
      </c>
      <c r="Y10" s="34" t="s">
        <v>214</v>
      </c>
      <c r="Z10" s="35" t="s">
        <v>60</v>
      </c>
      <c r="AA10" s="35" t="s">
        <v>60</v>
      </c>
      <c r="AB10" s="19" t="s">
        <v>107</v>
      </c>
      <c r="AC10" s="35" t="s">
        <v>60</v>
      </c>
      <c r="AD10" s="35" t="s">
        <v>60</v>
      </c>
      <c r="AE10" s="35" t="s">
        <v>211</v>
      </c>
      <c r="AF10" s="35" t="s">
        <v>212</v>
      </c>
      <c r="AG10" s="19" t="s">
        <v>113</v>
      </c>
      <c r="AH10" s="34" t="s">
        <v>216</v>
      </c>
      <c r="AI10" s="34" t="s">
        <v>233</v>
      </c>
      <c r="AJ10" s="19" t="s">
        <v>113</v>
      </c>
      <c r="AK10" s="19" t="s">
        <v>217</v>
      </c>
      <c r="AL10" s="19" t="s">
        <v>113</v>
      </c>
      <c r="AM10" s="19" t="s">
        <v>120</v>
      </c>
      <c r="AN10" s="34" t="s">
        <v>234</v>
      </c>
      <c r="AO10" s="34" t="s">
        <v>240</v>
      </c>
      <c r="AP10" s="34" t="s">
        <v>179</v>
      </c>
      <c r="AQ10" s="34" t="s">
        <v>226</v>
      </c>
    </row>
    <row r="11" spans="2:43" s="36" customFormat="1" ht="80">
      <c r="B11" s="42" t="s">
        <v>223</v>
      </c>
      <c r="C11" s="19" t="s">
        <v>132</v>
      </c>
      <c r="D11" s="19" t="s">
        <v>132</v>
      </c>
      <c r="E11" s="34" t="s">
        <v>225</v>
      </c>
      <c r="F11" s="19" t="s">
        <v>107</v>
      </c>
      <c r="G11" s="19" t="s">
        <v>107</v>
      </c>
      <c r="H11" s="19" t="s">
        <v>107</v>
      </c>
      <c r="I11" s="19" t="s">
        <v>107</v>
      </c>
      <c r="J11" s="34" t="s">
        <v>60</v>
      </c>
      <c r="K11" s="19" t="s">
        <v>107</v>
      </c>
      <c r="L11" s="19" t="s">
        <v>107</v>
      </c>
      <c r="M11" s="19" t="s">
        <v>107</v>
      </c>
      <c r="N11" s="19" t="s">
        <v>197</v>
      </c>
      <c r="O11" s="34" t="s">
        <v>228</v>
      </c>
      <c r="P11" s="19" t="s">
        <v>107</v>
      </c>
      <c r="Q11" s="34" t="s">
        <v>206</v>
      </c>
      <c r="R11" s="19" t="s">
        <v>245</v>
      </c>
      <c r="S11" s="34" t="s">
        <v>231</v>
      </c>
      <c r="T11" s="19" t="s">
        <v>204</v>
      </c>
      <c r="U11" s="19"/>
      <c r="V11" s="19"/>
      <c r="W11" s="19" t="s">
        <v>237</v>
      </c>
      <c r="X11" s="34" t="s">
        <v>236</v>
      </c>
      <c r="Y11" s="34" t="s">
        <v>214</v>
      </c>
      <c r="Z11" s="35" t="s">
        <v>60</v>
      </c>
      <c r="AA11" s="35" t="s">
        <v>60</v>
      </c>
      <c r="AB11" s="19" t="s">
        <v>107</v>
      </c>
      <c r="AC11" s="35" t="s">
        <v>60</v>
      </c>
      <c r="AD11" s="35" t="s">
        <v>60</v>
      </c>
      <c r="AE11" s="35" t="s">
        <v>211</v>
      </c>
      <c r="AF11" s="19" t="s">
        <v>113</v>
      </c>
      <c r="AG11" s="35" t="s">
        <v>113</v>
      </c>
      <c r="AH11" s="35" t="s">
        <v>60</v>
      </c>
      <c r="AI11" s="19" t="s">
        <v>113</v>
      </c>
      <c r="AJ11" s="19" t="s">
        <v>113</v>
      </c>
      <c r="AK11" s="19" t="s">
        <v>217</v>
      </c>
      <c r="AL11" s="34" t="s">
        <v>113</v>
      </c>
      <c r="AM11" s="19" t="s">
        <v>120</v>
      </c>
      <c r="AN11" s="34" t="s">
        <v>234</v>
      </c>
      <c r="AO11" s="34" t="s">
        <v>240</v>
      </c>
      <c r="AP11" s="19"/>
      <c r="AQ11" s="34" t="s">
        <v>241</v>
      </c>
    </row>
    <row r="12" spans="2:43" s="36" customFormat="1" ht="128">
      <c r="B12" s="41" t="s">
        <v>215</v>
      </c>
      <c r="C12" s="34" t="s">
        <v>60</v>
      </c>
      <c r="D12" s="34" t="s">
        <v>60</v>
      </c>
      <c r="E12" s="34" t="s">
        <v>60</v>
      </c>
      <c r="F12" s="19" t="s">
        <v>107</v>
      </c>
      <c r="G12" s="19" t="s">
        <v>107</v>
      </c>
      <c r="H12" s="19" t="s">
        <v>107</v>
      </c>
      <c r="I12" s="34" t="s">
        <v>60</v>
      </c>
      <c r="J12" s="34" t="s">
        <v>60</v>
      </c>
      <c r="K12" s="19" t="s">
        <v>107</v>
      </c>
      <c r="L12" s="19" t="s">
        <v>107</v>
      </c>
      <c r="M12" s="19" t="s">
        <v>107</v>
      </c>
      <c r="N12" s="34" t="s">
        <v>220</v>
      </c>
      <c r="O12" s="19" t="s">
        <v>229</v>
      </c>
      <c r="P12" s="19" t="s">
        <v>107</v>
      </c>
      <c r="Q12" s="34" t="s">
        <v>244</v>
      </c>
      <c r="R12" s="19" t="s">
        <v>219</v>
      </c>
      <c r="S12" s="34" t="s">
        <v>230</v>
      </c>
      <c r="T12" s="35" t="s">
        <v>246</v>
      </c>
      <c r="U12" s="19" t="s">
        <v>236</v>
      </c>
      <c r="V12" s="19"/>
      <c r="W12" s="19" t="s">
        <v>113</v>
      </c>
      <c r="X12" s="34" t="s">
        <v>236</v>
      </c>
      <c r="Y12" s="19" t="s">
        <v>247</v>
      </c>
      <c r="Z12" s="35" t="s">
        <v>60</v>
      </c>
      <c r="AA12" s="35" t="s">
        <v>60</v>
      </c>
      <c r="AB12" s="19" t="s">
        <v>107</v>
      </c>
      <c r="AC12" s="35" t="s">
        <v>60</v>
      </c>
      <c r="AD12" s="35" t="s">
        <v>60</v>
      </c>
      <c r="AE12" s="35" t="s">
        <v>60</v>
      </c>
      <c r="AF12" s="35" t="s">
        <v>249</v>
      </c>
      <c r="AG12" s="35" t="s">
        <v>60</v>
      </c>
      <c r="AH12" s="34" t="s">
        <v>216</v>
      </c>
      <c r="AI12" s="34" t="s">
        <v>233</v>
      </c>
      <c r="AJ12" s="19" t="s">
        <v>113</v>
      </c>
      <c r="AK12" s="19" t="s">
        <v>217</v>
      </c>
      <c r="AL12" s="34" t="s">
        <v>113</v>
      </c>
      <c r="AM12" s="19" t="s">
        <v>120</v>
      </c>
      <c r="AN12" s="19" t="s">
        <v>250</v>
      </c>
      <c r="AO12" s="34" t="s">
        <v>251</v>
      </c>
      <c r="AP12" s="19"/>
      <c r="AQ12" s="34" t="s">
        <v>242</v>
      </c>
    </row>
    <row r="13" spans="2:43" s="38" customFormat="1" ht="48">
      <c r="B13" s="42" t="s">
        <v>47</v>
      </c>
      <c r="C13" s="34" t="s">
        <v>60</v>
      </c>
      <c r="D13" s="34"/>
      <c r="E13" s="34"/>
      <c r="F13" s="34"/>
      <c r="G13" s="34"/>
      <c r="H13" s="34"/>
      <c r="I13" s="34" t="s">
        <v>60</v>
      </c>
      <c r="J13" s="34" t="s">
        <v>60</v>
      </c>
      <c r="K13" s="34"/>
      <c r="L13" s="34"/>
      <c r="M13" s="34"/>
      <c r="N13" s="34" t="s">
        <v>254</v>
      </c>
      <c r="O13" s="34" t="s">
        <v>255</v>
      </c>
      <c r="P13" s="34" t="s">
        <v>107</v>
      </c>
      <c r="Q13" s="34" t="s">
        <v>107</v>
      </c>
      <c r="R13" s="34" t="s">
        <v>256</v>
      </c>
      <c r="S13" s="34" t="s">
        <v>257</v>
      </c>
      <c r="T13" s="34"/>
      <c r="U13" s="34" t="s">
        <v>258</v>
      </c>
      <c r="V13" s="34"/>
      <c r="W13" s="34" t="s">
        <v>259</v>
      </c>
      <c r="X13" s="34"/>
      <c r="Y13" s="34"/>
      <c r="Z13" s="19" t="s">
        <v>107</v>
      </c>
      <c r="AA13" s="19" t="s">
        <v>107</v>
      </c>
      <c r="AB13" s="35" t="s">
        <v>60</v>
      </c>
      <c r="AC13" s="19" t="s">
        <v>107</v>
      </c>
      <c r="AD13" s="19" t="s">
        <v>107</v>
      </c>
      <c r="AE13" s="19" t="s">
        <v>107</v>
      </c>
      <c r="AF13" s="19" t="s">
        <v>107</v>
      </c>
      <c r="AG13" s="19" t="s">
        <v>107</v>
      </c>
      <c r="AH13" s="34"/>
      <c r="AI13" s="34"/>
      <c r="AJ13" s="34"/>
      <c r="AK13" s="34"/>
      <c r="AL13" s="34"/>
      <c r="AM13" s="34"/>
      <c r="AN13" s="34"/>
      <c r="AO13" s="34"/>
      <c r="AP13" s="34"/>
      <c r="AQ13" s="34"/>
    </row>
    <row r="14" spans="2:43" s="38" customFormat="1">
      <c r="B14" s="34"/>
      <c r="C14" s="34"/>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row>
    <row r="15" spans="2:43" s="38" customFormat="1">
      <c r="B15" s="34"/>
      <c r="C15" s="34"/>
      <c r="D15" s="34"/>
      <c r="E15" s="34"/>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row>
    <row r="16" spans="2:43" s="38" customFormat="1">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row>
    <row r="17" spans="2:43" s="38" customFormat="1">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row>
    <row r="18" spans="2:43" s="38" customFormat="1">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row>
    <row r="19" spans="2:43" s="38" customFormat="1">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row>
    <row r="20" spans="2:43" s="38" customFormat="1">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row>
    <row r="21" spans="2:43" s="38" customFormat="1">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row>
    <row r="22" spans="2:43" s="38" customFormat="1">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row>
    <row r="23" spans="2:43" s="38" customFormat="1">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row>
    <row r="24" spans="2:43" s="38" customFormat="1">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row>
    <row r="25" spans="2:43" s="38" customFormat="1">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row>
    <row r="26" spans="2:43" s="38" customFormat="1">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row>
    <row r="27" spans="2:43" s="38" customFormat="1">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row>
    <row r="28" spans="2:43" s="38" customFormat="1">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row>
    <row r="29" spans="2:43" s="38" customFormat="1">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row>
    <row r="30" spans="2:43" s="38" customFormat="1">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row>
  </sheetData>
  <mergeCells count="29">
    <mergeCell ref="Z3:AC3"/>
    <mergeCell ref="AD3:AG3"/>
    <mergeCell ref="W3:W4"/>
    <mergeCell ref="X3:X4"/>
    <mergeCell ref="Y3:Y4"/>
    <mergeCell ref="AO3:AO4"/>
    <mergeCell ref="AQ3:AQ4"/>
    <mergeCell ref="AH3:AH4"/>
    <mergeCell ref="AI3:AI4"/>
    <mergeCell ref="AJ3:AJ4"/>
    <mergeCell ref="AK3:AK4"/>
    <mergeCell ref="AL3:AL4"/>
    <mergeCell ref="AP3:AP4"/>
    <mergeCell ref="P2:V2"/>
    <mergeCell ref="P3:S3"/>
    <mergeCell ref="AM3:AM4"/>
    <mergeCell ref="AN3:AN4"/>
    <mergeCell ref="B2:B4"/>
    <mergeCell ref="C3:I3"/>
    <mergeCell ref="J3:M3"/>
    <mergeCell ref="C2:O2"/>
    <mergeCell ref="N3:N4"/>
    <mergeCell ref="O3:O4"/>
    <mergeCell ref="T3:T4"/>
    <mergeCell ref="U3:U4"/>
    <mergeCell ref="V3:V4"/>
    <mergeCell ref="W2:Y2"/>
    <mergeCell ref="Z2:AL2"/>
    <mergeCell ref="AM2:AQ2"/>
  </mergeCells>
  <pageMargins left="0.75" right="0.75" top="1" bottom="1" header="0.5" footer="0.5"/>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BCD9-8B5C-9D4A-A1E6-09B1BA1692BB}">
  <sheetPr codeName="Sheet4"/>
  <dimension ref="A2:FG31"/>
  <sheetViews>
    <sheetView topLeftCell="T9" zoomScale="20" zoomScaleNormal="14" workbookViewId="0">
      <selection activeCell="AI8" sqref="AI8"/>
    </sheetView>
  </sheetViews>
  <sheetFormatPr baseColWidth="10" defaultColWidth="8.83203125" defaultRowHeight="47"/>
  <cols>
    <col min="1" max="1" width="9.33203125" style="54" customWidth="1"/>
    <col min="2" max="2" width="29.6640625" style="54" bestFit="1" customWidth="1"/>
    <col min="3" max="3" width="8.33203125" customWidth="1"/>
    <col min="4" max="4" width="24.6640625" style="54" customWidth="1"/>
    <col min="5" max="5" width="18.6640625" style="54" bestFit="1" customWidth="1"/>
    <col min="6" max="6" width="31.6640625" style="54" bestFit="1" customWidth="1"/>
    <col min="7" max="7" width="29.1640625" style="54" bestFit="1" customWidth="1"/>
    <col min="8" max="8" width="28.1640625" style="54" bestFit="1" customWidth="1"/>
    <col min="9" max="9" width="24.6640625" style="54" bestFit="1" customWidth="1"/>
    <col min="10" max="10" width="23.83203125" style="54" bestFit="1" customWidth="1"/>
    <col min="11" max="11" width="6" style="54" customWidth="1"/>
    <col min="12" max="12" width="44" style="54" bestFit="1" customWidth="1"/>
    <col min="13" max="13" width="43.83203125" style="54" bestFit="1" customWidth="1"/>
    <col min="14" max="14" width="78" style="54" bestFit="1" customWidth="1"/>
    <col min="15" max="15" width="59.1640625" style="54" customWidth="1"/>
    <col min="16" max="16" width="5.83203125" style="54" customWidth="1"/>
    <col min="17" max="17" width="35.5" style="54" bestFit="1" customWidth="1"/>
    <col min="18" max="18" width="30" style="54" bestFit="1" customWidth="1"/>
    <col min="19" max="19" width="23" style="54" bestFit="1" customWidth="1"/>
    <col min="20" max="20" width="62.83203125" style="54" customWidth="1"/>
    <col min="21" max="21" width="6.1640625" style="54" customWidth="1"/>
    <col min="22" max="22" width="35.5" style="54" bestFit="1" customWidth="1"/>
    <col min="23" max="23" width="37" style="54" bestFit="1" customWidth="1"/>
    <col min="24" max="24" width="23" style="54" bestFit="1" customWidth="1"/>
    <col min="25" max="25" width="58.6640625" style="54" customWidth="1"/>
    <col min="26" max="26" width="5.5" style="54" customWidth="1"/>
    <col min="27" max="27" width="35.5" style="54" bestFit="1" customWidth="1"/>
    <col min="28" max="28" width="30" style="54" bestFit="1" customWidth="1"/>
    <col min="29" max="29" width="35.33203125" style="54" bestFit="1" customWidth="1"/>
    <col min="30" max="30" width="49.33203125" style="54" bestFit="1" customWidth="1"/>
    <col min="31" max="31" width="5.5" style="54" customWidth="1"/>
    <col min="32" max="32" width="35.5" style="54" bestFit="1" customWidth="1"/>
    <col min="33" max="33" width="30" style="54" bestFit="1" customWidth="1"/>
    <col min="34" max="34" width="36" style="54" customWidth="1"/>
    <col min="35" max="35" width="47.6640625" style="54" customWidth="1"/>
    <col min="36" max="36" width="5.5" style="54" customWidth="1"/>
    <col min="37" max="37" width="44" style="54" bestFit="1" customWidth="1"/>
    <col min="38" max="38" width="44" style="54" customWidth="1"/>
    <col min="39" max="39" width="37.5" style="54" customWidth="1"/>
    <col min="40" max="40" width="56.6640625" style="54" customWidth="1"/>
    <col min="41" max="41" width="76.6640625" style="54" customWidth="1"/>
    <col min="42" max="42" width="6.1640625" style="54" customWidth="1"/>
    <col min="43" max="43" width="43.33203125" style="54" customWidth="1"/>
    <col min="44" max="44" width="72.1640625" style="54" bestFit="1" customWidth="1"/>
    <col min="45" max="45" width="26.5" style="54" bestFit="1" customWidth="1"/>
    <col min="46" max="46" width="94.33203125" style="54" customWidth="1"/>
    <col min="47" max="47" width="76.6640625" style="54" bestFit="1" customWidth="1"/>
    <col min="48" max="48" width="64.83203125" style="54" bestFit="1" customWidth="1"/>
    <col min="49" max="49" width="55" style="54" bestFit="1" customWidth="1"/>
    <col min="50" max="50" width="44.33203125" style="54" bestFit="1" customWidth="1"/>
    <col min="51" max="51" width="42" style="54" customWidth="1"/>
    <col min="52" max="52" width="27.6640625" style="54" customWidth="1"/>
    <col min="53" max="53" width="20.83203125" style="54" bestFit="1" customWidth="1"/>
    <col min="54" max="54" width="30.33203125" style="54" customWidth="1"/>
    <col min="55" max="55" width="32.5" style="54" bestFit="1" customWidth="1"/>
    <col min="56" max="56" width="20.83203125" style="54" bestFit="1" customWidth="1"/>
    <col min="57" max="57" width="22.6640625" style="54" bestFit="1" customWidth="1"/>
    <col min="58" max="58" width="22.6640625" style="54" customWidth="1"/>
    <col min="59" max="59" width="28" style="54" customWidth="1"/>
    <col min="60" max="60" width="22.6640625" style="54" customWidth="1"/>
    <col min="61" max="61" width="19.83203125" style="54" bestFit="1" customWidth="1"/>
    <col min="62" max="62" width="24.33203125" style="54" customWidth="1"/>
    <col min="63" max="63" width="18.33203125" style="54" bestFit="1" customWidth="1"/>
    <col min="64" max="64" width="33.6640625" style="54" customWidth="1"/>
    <col min="65" max="65" width="78" style="54" customWidth="1"/>
    <col min="66" max="66" width="62" style="54" bestFit="1" customWidth="1"/>
    <col min="67" max="67" width="21.6640625" style="54" bestFit="1" customWidth="1"/>
    <col min="68" max="68" width="35.5" style="54" bestFit="1" customWidth="1"/>
    <col min="69" max="69" width="40.33203125" style="54" bestFit="1" customWidth="1"/>
    <col min="70" max="70" width="129.83203125" style="54" customWidth="1"/>
    <col min="71" max="71" width="98.1640625" style="54" bestFit="1" customWidth="1"/>
    <col min="72" max="72" width="38.33203125" style="54" bestFit="1" customWidth="1"/>
    <col min="73" max="73" width="26.6640625" style="54" bestFit="1" customWidth="1"/>
    <col min="74" max="74" width="13.83203125" style="54" bestFit="1" customWidth="1"/>
    <col min="75" max="75" width="16.83203125" style="54" bestFit="1" customWidth="1"/>
    <col min="76" max="76" width="113.33203125" style="54" bestFit="1" customWidth="1"/>
    <col min="77" max="77" width="44.83203125" style="54" bestFit="1" customWidth="1"/>
    <col min="78" max="78" width="16" style="54" bestFit="1" customWidth="1"/>
    <col min="79" max="79" width="14.1640625" style="54" bestFit="1" customWidth="1"/>
    <col min="80" max="80" width="19.5" style="54" bestFit="1" customWidth="1"/>
    <col min="81" max="81" width="26.83203125" style="54" bestFit="1" customWidth="1"/>
    <col min="82" max="82" width="22.33203125" style="54" bestFit="1" customWidth="1"/>
    <col min="83" max="83" width="55.1640625" style="54" bestFit="1" customWidth="1"/>
    <col min="84" max="84" width="28.5" style="54" bestFit="1" customWidth="1"/>
    <col min="85" max="85" width="16.83203125" style="54" bestFit="1" customWidth="1"/>
    <col min="86" max="16384" width="8.83203125" style="54"/>
  </cols>
  <sheetData>
    <row r="2" spans="1:163" ht="47" customHeight="1">
      <c r="B2" s="87" t="s">
        <v>20</v>
      </c>
      <c r="D2" s="75" t="s">
        <v>3</v>
      </c>
      <c r="E2" s="75"/>
      <c r="F2" s="75"/>
      <c r="G2" s="75"/>
      <c r="H2" s="75"/>
      <c r="I2" s="75"/>
      <c r="J2" s="75"/>
      <c r="L2" s="77" t="s">
        <v>260</v>
      </c>
      <c r="M2" s="78"/>
      <c r="N2" s="78"/>
      <c r="O2" s="78"/>
      <c r="P2" s="78"/>
      <c r="Q2" s="78"/>
      <c r="R2" s="78"/>
      <c r="S2" s="78"/>
      <c r="T2" s="78"/>
      <c r="U2" s="78"/>
      <c r="V2" s="78"/>
      <c r="W2" s="78"/>
      <c r="X2" s="78"/>
      <c r="Y2" s="78"/>
      <c r="Z2" s="78"/>
      <c r="AA2" s="78"/>
      <c r="AB2" s="78"/>
      <c r="AC2" s="78"/>
      <c r="AD2" s="78"/>
      <c r="AE2" s="78"/>
      <c r="AF2" s="78"/>
      <c r="AG2" s="78"/>
      <c r="AH2" s="78"/>
      <c r="AI2" s="78"/>
      <c r="AJ2"/>
      <c r="AK2" s="91" t="s">
        <v>321</v>
      </c>
      <c r="AL2" s="91"/>
      <c r="AM2" s="91"/>
      <c r="AN2" s="91"/>
      <c r="AO2" s="91"/>
      <c r="AQ2" s="90" t="s">
        <v>278</v>
      </c>
      <c r="AR2" s="90"/>
      <c r="AS2" s="90"/>
      <c r="AU2" s="138" t="s">
        <v>272</v>
      </c>
      <c r="AV2" s="138"/>
      <c r="AW2" s="138"/>
      <c r="AX2" s="138"/>
      <c r="AY2" s="138"/>
      <c r="AZ2" s="138"/>
      <c r="BA2" s="138"/>
      <c r="BB2" s="138"/>
      <c r="BC2" s="138"/>
      <c r="BD2" s="138"/>
      <c r="BE2" s="138"/>
      <c r="BF2" s="138"/>
      <c r="BG2" s="138"/>
      <c r="BH2" s="138"/>
      <c r="BI2" s="138"/>
      <c r="BJ2" s="138"/>
      <c r="BK2" s="138"/>
      <c r="BL2" s="139"/>
      <c r="BN2" s="69" t="s">
        <v>10</v>
      </c>
      <c r="BO2" s="70"/>
      <c r="BP2" s="70"/>
      <c r="BQ2" s="70"/>
      <c r="BR2" s="70"/>
      <c r="BS2" s="70"/>
      <c r="BT2" s="70"/>
      <c r="BU2" s="70"/>
      <c r="BV2" s="71"/>
      <c r="BW2"/>
    </row>
    <row r="3" spans="1:163" ht="47" customHeight="1">
      <c r="B3" s="87"/>
      <c r="D3" s="72" t="s">
        <v>294</v>
      </c>
      <c r="E3" s="88" t="s">
        <v>261</v>
      </c>
      <c r="F3" s="88" t="s">
        <v>262</v>
      </c>
      <c r="G3" s="88" t="s">
        <v>293</v>
      </c>
      <c r="H3" s="88" t="s">
        <v>263</v>
      </c>
      <c r="I3" s="88" t="s">
        <v>264</v>
      </c>
      <c r="J3" s="88" t="s">
        <v>265</v>
      </c>
      <c r="L3" s="81" t="s">
        <v>56</v>
      </c>
      <c r="M3" s="82"/>
      <c r="N3" s="82"/>
      <c r="O3" s="83"/>
      <c r="P3" s="64"/>
      <c r="Q3" s="81" t="s">
        <v>57</v>
      </c>
      <c r="R3" s="82"/>
      <c r="S3" s="82"/>
      <c r="T3" s="83"/>
      <c r="U3" s="64"/>
      <c r="V3" s="81" t="s">
        <v>58</v>
      </c>
      <c r="W3" s="82"/>
      <c r="X3" s="82"/>
      <c r="Y3" s="83"/>
      <c r="Z3" s="64"/>
      <c r="AA3" s="81" t="s">
        <v>281</v>
      </c>
      <c r="AB3" s="82"/>
      <c r="AC3" s="82"/>
      <c r="AD3" s="83"/>
      <c r="AE3" s="64"/>
      <c r="AF3" s="81" t="s">
        <v>131</v>
      </c>
      <c r="AG3" s="82"/>
      <c r="AH3" s="82"/>
      <c r="AI3" s="83"/>
      <c r="AJ3" s="64"/>
      <c r="AK3" s="84" t="s">
        <v>328</v>
      </c>
      <c r="AL3" s="84"/>
      <c r="AM3" s="84"/>
      <c r="AN3" s="84"/>
      <c r="AO3" s="85" t="s">
        <v>299</v>
      </c>
      <c r="AQ3" s="86" t="s">
        <v>279</v>
      </c>
      <c r="AR3" s="86" t="s">
        <v>300</v>
      </c>
      <c r="AS3" s="86" t="s">
        <v>280</v>
      </c>
      <c r="AU3" s="80" t="s">
        <v>71</v>
      </c>
      <c r="AV3" s="80" t="s">
        <v>69</v>
      </c>
      <c r="AW3" s="80" t="s">
        <v>73</v>
      </c>
      <c r="AX3" s="80" t="s">
        <v>72</v>
      </c>
      <c r="AY3" s="80" t="s">
        <v>274</v>
      </c>
      <c r="AZ3" s="76" t="s">
        <v>318</v>
      </c>
      <c r="BA3" s="76"/>
      <c r="BB3" s="76"/>
      <c r="BC3" s="76"/>
      <c r="BD3" s="76"/>
      <c r="BE3" s="76"/>
      <c r="BF3" s="76"/>
      <c r="BG3" s="76"/>
      <c r="BH3" s="76"/>
      <c r="BI3" s="76"/>
      <c r="BJ3" s="76"/>
      <c r="BK3" s="76"/>
      <c r="BL3" s="76"/>
      <c r="BN3" s="79" t="s">
        <v>74</v>
      </c>
      <c r="BO3" s="79" t="s">
        <v>79</v>
      </c>
      <c r="BP3" s="79" t="s">
        <v>80</v>
      </c>
      <c r="BQ3" s="79" t="s">
        <v>81</v>
      </c>
      <c r="BR3" s="79" t="s">
        <v>99</v>
      </c>
      <c r="BS3" s="79" t="s">
        <v>82</v>
      </c>
      <c r="BT3" s="79" t="s">
        <v>287</v>
      </c>
      <c r="BU3" s="79"/>
      <c r="BV3" s="79"/>
    </row>
    <row r="4" spans="1:163" ht="47" customHeight="1">
      <c r="B4" s="87"/>
      <c r="D4" s="73"/>
      <c r="E4" s="88"/>
      <c r="F4" s="88"/>
      <c r="G4" s="88"/>
      <c r="H4" s="88"/>
      <c r="I4" s="88"/>
      <c r="J4" s="88"/>
      <c r="L4" s="89" t="s">
        <v>320</v>
      </c>
      <c r="M4" s="89"/>
      <c r="N4" s="89"/>
      <c r="O4" s="89" t="s">
        <v>324</v>
      </c>
      <c r="P4" s="64"/>
      <c r="Q4" s="89" t="s">
        <v>320</v>
      </c>
      <c r="R4" s="89"/>
      <c r="S4" s="89"/>
      <c r="T4" s="89" t="s">
        <v>319</v>
      </c>
      <c r="U4" s="64"/>
      <c r="V4" s="89" t="s">
        <v>320</v>
      </c>
      <c r="W4" s="89"/>
      <c r="X4" s="89"/>
      <c r="Y4" s="89" t="s">
        <v>319</v>
      </c>
      <c r="Z4" s="64"/>
      <c r="AA4" s="89" t="s">
        <v>320</v>
      </c>
      <c r="AB4" s="89"/>
      <c r="AC4" s="89"/>
      <c r="AD4" s="89" t="s">
        <v>319</v>
      </c>
      <c r="AE4" s="64"/>
      <c r="AF4" s="89" t="s">
        <v>320</v>
      </c>
      <c r="AG4" s="89"/>
      <c r="AH4" s="89"/>
      <c r="AI4" s="89" t="s">
        <v>319</v>
      </c>
      <c r="AJ4" s="64"/>
      <c r="AK4" s="84" t="s">
        <v>322</v>
      </c>
      <c r="AL4" s="140" t="s">
        <v>323</v>
      </c>
      <c r="AM4" s="84" t="s">
        <v>268</v>
      </c>
      <c r="AN4" s="84" t="s">
        <v>332</v>
      </c>
      <c r="AO4" s="85"/>
      <c r="AQ4" s="86"/>
      <c r="AR4" s="86"/>
      <c r="AS4" s="86"/>
      <c r="AU4" s="80"/>
      <c r="AV4" s="80"/>
      <c r="AW4" s="80"/>
      <c r="AX4" s="80"/>
      <c r="AY4" s="80"/>
      <c r="AZ4" s="76" t="s">
        <v>85</v>
      </c>
      <c r="BA4" s="76" t="s">
        <v>68</v>
      </c>
      <c r="BB4" s="76" t="s">
        <v>297</v>
      </c>
      <c r="BC4" s="76" t="s">
        <v>66</v>
      </c>
      <c r="BD4" s="76" t="s">
        <v>62</v>
      </c>
      <c r="BE4" s="76" t="s">
        <v>309</v>
      </c>
      <c r="BF4" s="142" t="s">
        <v>346</v>
      </c>
      <c r="BG4" s="143"/>
      <c r="BH4" s="144"/>
      <c r="BI4" s="76" t="s">
        <v>75</v>
      </c>
      <c r="BJ4" s="76" t="s">
        <v>8</v>
      </c>
      <c r="BK4" s="76" t="s">
        <v>76</v>
      </c>
      <c r="BL4" s="67" t="s">
        <v>310</v>
      </c>
      <c r="BN4" s="79"/>
      <c r="BO4" s="79"/>
      <c r="BP4" s="79"/>
      <c r="BQ4" s="79"/>
      <c r="BR4" s="79"/>
      <c r="BS4" s="79"/>
      <c r="BT4" s="79" t="s">
        <v>87</v>
      </c>
      <c r="BU4" s="79" t="s">
        <v>110</v>
      </c>
      <c r="BV4" s="79" t="s">
        <v>61</v>
      </c>
    </row>
    <row r="5" spans="1:163" s="59" customFormat="1" ht="200" customHeight="1">
      <c r="B5" s="87"/>
      <c r="C5"/>
      <c r="D5" s="74"/>
      <c r="E5" s="88"/>
      <c r="F5" s="88"/>
      <c r="G5" s="88"/>
      <c r="H5" s="88"/>
      <c r="I5" s="88"/>
      <c r="J5" s="88"/>
      <c r="L5" s="65" t="s">
        <v>88</v>
      </c>
      <c r="M5" s="65" t="s">
        <v>89</v>
      </c>
      <c r="N5" s="65" t="s">
        <v>90</v>
      </c>
      <c r="O5" s="89"/>
      <c r="P5" s="64"/>
      <c r="Q5" s="65" t="s">
        <v>88</v>
      </c>
      <c r="R5" s="65" t="s">
        <v>89</v>
      </c>
      <c r="S5" s="65" t="s">
        <v>90</v>
      </c>
      <c r="T5" s="89"/>
      <c r="U5" s="64"/>
      <c r="V5" s="65" t="s">
        <v>88</v>
      </c>
      <c r="W5" s="65" t="s">
        <v>89</v>
      </c>
      <c r="X5" s="65" t="s">
        <v>90</v>
      </c>
      <c r="Y5" s="89"/>
      <c r="Z5" s="64"/>
      <c r="AA5" s="65" t="s">
        <v>88</v>
      </c>
      <c r="AB5" s="65" t="s">
        <v>89</v>
      </c>
      <c r="AC5" s="65" t="s">
        <v>90</v>
      </c>
      <c r="AD5" s="89"/>
      <c r="AE5" s="64"/>
      <c r="AF5" s="65" t="s">
        <v>88</v>
      </c>
      <c r="AG5" s="65" t="s">
        <v>89</v>
      </c>
      <c r="AH5" s="65" t="s">
        <v>90</v>
      </c>
      <c r="AI5" s="89"/>
      <c r="AJ5" s="64"/>
      <c r="AK5" s="84"/>
      <c r="AL5" s="141"/>
      <c r="AM5" s="84"/>
      <c r="AN5" s="84"/>
      <c r="AO5" s="85"/>
      <c r="AQ5" s="86"/>
      <c r="AR5" s="86"/>
      <c r="AS5" s="86"/>
      <c r="AU5" s="80"/>
      <c r="AV5" s="80"/>
      <c r="AW5" s="80"/>
      <c r="AX5" s="80"/>
      <c r="AY5" s="80"/>
      <c r="AZ5" s="76"/>
      <c r="BA5" s="76"/>
      <c r="BB5" s="76"/>
      <c r="BC5" s="76"/>
      <c r="BD5" s="76"/>
      <c r="BE5" s="76"/>
      <c r="BF5" s="63" t="s">
        <v>343</v>
      </c>
      <c r="BG5" s="63" t="s">
        <v>344</v>
      </c>
      <c r="BH5" s="63" t="s">
        <v>345</v>
      </c>
      <c r="BI5" s="76"/>
      <c r="BJ5" s="76"/>
      <c r="BK5" s="76"/>
      <c r="BL5" s="68"/>
      <c r="BN5" s="79"/>
      <c r="BO5" s="79"/>
      <c r="BP5" s="79"/>
      <c r="BQ5" s="79"/>
      <c r="BR5" s="79"/>
      <c r="BS5" s="79"/>
      <c r="BT5" s="79"/>
      <c r="BU5" s="79"/>
      <c r="BV5" s="79"/>
      <c r="DE5" s="54"/>
      <c r="DF5" s="54"/>
    </row>
    <row r="6" spans="1:163" customFormat="1" ht="32" customHeight="1"/>
    <row r="7" spans="1:163" s="59" customFormat="1" ht="409" customHeight="1">
      <c r="B7" s="55" t="s">
        <v>32</v>
      </c>
      <c r="C7"/>
      <c r="D7" s="56" t="s">
        <v>60</v>
      </c>
      <c r="E7" s="56" t="s">
        <v>60</v>
      </c>
      <c r="F7" s="56" t="s">
        <v>60</v>
      </c>
      <c r="G7" s="56" t="s">
        <v>60</v>
      </c>
      <c r="H7" s="56" t="s">
        <v>60</v>
      </c>
      <c r="I7" s="56" t="s">
        <v>107</v>
      </c>
      <c r="J7" s="56" t="s">
        <v>107</v>
      </c>
      <c r="L7" s="58" t="s">
        <v>107</v>
      </c>
      <c r="M7" s="58" t="s">
        <v>107</v>
      </c>
      <c r="N7" s="58" t="s">
        <v>107</v>
      </c>
      <c r="O7" s="58" t="s">
        <v>107</v>
      </c>
      <c r="P7" s="64"/>
      <c r="Q7" s="58" t="s">
        <v>107</v>
      </c>
      <c r="R7" s="58" t="s">
        <v>107</v>
      </c>
      <c r="S7" s="58" t="s">
        <v>107</v>
      </c>
      <c r="T7" s="58" t="s">
        <v>107</v>
      </c>
      <c r="U7" s="64"/>
      <c r="V7" s="58" t="s">
        <v>107</v>
      </c>
      <c r="W7" s="58" t="s">
        <v>107</v>
      </c>
      <c r="X7" s="58" t="s">
        <v>107</v>
      </c>
      <c r="Y7" s="58" t="s">
        <v>107</v>
      </c>
      <c r="Z7" s="64"/>
      <c r="AA7" s="58" t="s">
        <v>107</v>
      </c>
      <c r="AB7" s="58" t="s">
        <v>107</v>
      </c>
      <c r="AC7" s="58" t="s">
        <v>107</v>
      </c>
      <c r="AD7" s="58" t="s">
        <v>107</v>
      </c>
      <c r="AE7" s="64"/>
      <c r="AF7" s="58" t="s">
        <v>107</v>
      </c>
      <c r="AG7" s="58" t="s">
        <v>132</v>
      </c>
      <c r="AH7" s="58" t="s">
        <v>107</v>
      </c>
      <c r="AI7" s="56" t="s">
        <v>363</v>
      </c>
      <c r="AJ7" s="64"/>
      <c r="AK7" s="58" t="s">
        <v>60</v>
      </c>
      <c r="AL7" s="58" t="s">
        <v>107</v>
      </c>
      <c r="AM7" s="58" t="s">
        <v>107</v>
      </c>
      <c r="AN7" s="58" t="s">
        <v>107</v>
      </c>
      <c r="AO7" s="58" t="s">
        <v>107</v>
      </c>
      <c r="AQ7" s="58" t="s">
        <v>107</v>
      </c>
      <c r="AR7" s="58" t="s">
        <v>60</v>
      </c>
      <c r="AS7" s="58" t="s">
        <v>107</v>
      </c>
      <c r="AU7" s="58"/>
      <c r="AV7" s="58" t="s">
        <v>187</v>
      </c>
      <c r="AW7" s="58"/>
      <c r="AX7" s="58" t="s">
        <v>107</v>
      </c>
      <c r="AY7" s="58"/>
      <c r="AZ7" s="58" t="s">
        <v>156</v>
      </c>
      <c r="BA7" s="58" t="s">
        <v>60</v>
      </c>
      <c r="BB7" s="58" t="s">
        <v>107</v>
      </c>
      <c r="BC7" s="58" t="s">
        <v>60</v>
      </c>
      <c r="BD7" s="58" t="s">
        <v>107</v>
      </c>
      <c r="BE7" s="58" t="s">
        <v>107</v>
      </c>
      <c r="BF7" s="56" t="s">
        <v>60</v>
      </c>
      <c r="BG7" s="56" t="s">
        <v>60</v>
      </c>
      <c r="BH7" s="58" t="s">
        <v>107</v>
      </c>
      <c r="BI7" s="56" t="s">
        <v>60</v>
      </c>
      <c r="BJ7" s="56" t="s">
        <v>60</v>
      </c>
      <c r="BK7" s="56" t="s">
        <v>60</v>
      </c>
      <c r="BL7" s="58" t="s">
        <v>107</v>
      </c>
      <c r="BN7" s="56"/>
      <c r="BO7" s="56"/>
      <c r="BP7" s="56"/>
      <c r="BQ7" s="56"/>
      <c r="BR7" s="56"/>
      <c r="BS7" s="56"/>
      <c r="BT7" s="58" t="s">
        <v>107</v>
      </c>
      <c r="BU7" s="60" t="s">
        <v>60</v>
      </c>
      <c r="BV7" s="58" t="s">
        <v>107</v>
      </c>
      <c r="DE7" s="54"/>
      <c r="DF7" s="54"/>
    </row>
    <row r="8" spans="1:163" s="59" customFormat="1" ht="409.6">
      <c r="B8" s="61" t="s">
        <v>326</v>
      </c>
      <c r="C8"/>
      <c r="D8" s="56" t="s">
        <v>60</v>
      </c>
      <c r="E8" s="56" t="s">
        <v>60</v>
      </c>
      <c r="F8" s="56" t="s">
        <v>60</v>
      </c>
      <c r="G8" s="56" t="s">
        <v>60</v>
      </c>
      <c r="H8" s="56" t="s">
        <v>60</v>
      </c>
      <c r="I8" s="56" t="s">
        <v>107</v>
      </c>
      <c r="J8" s="56" t="s">
        <v>107</v>
      </c>
      <c r="L8" s="56" t="s">
        <v>107</v>
      </c>
      <c r="M8" s="56" t="s">
        <v>111</v>
      </c>
      <c r="N8" s="56" t="s">
        <v>355</v>
      </c>
      <c r="O8" s="56" t="s">
        <v>358</v>
      </c>
      <c r="P8" s="64"/>
      <c r="Q8" s="56" t="s">
        <v>107</v>
      </c>
      <c r="R8" s="58" t="s">
        <v>132</v>
      </c>
      <c r="S8" s="56" t="s">
        <v>107</v>
      </c>
      <c r="T8" s="56" t="s">
        <v>358</v>
      </c>
      <c r="U8" s="64"/>
      <c r="V8" s="56" t="s">
        <v>107</v>
      </c>
      <c r="W8" s="58" t="s">
        <v>133</v>
      </c>
      <c r="X8" s="56" t="s">
        <v>107</v>
      </c>
      <c r="Y8" s="56" t="s">
        <v>296</v>
      </c>
      <c r="Z8" s="64"/>
      <c r="AA8" s="58" t="s">
        <v>107</v>
      </c>
      <c r="AB8" s="58" t="s">
        <v>107</v>
      </c>
      <c r="AC8" s="58" t="s">
        <v>107</v>
      </c>
      <c r="AD8" s="58" t="s">
        <v>107</v>
      </c>
      <c r="AE8" s="64"/>
      <c r="AF8" s="58" t="s">
        <v>288</v>
      </c>
      <c r="AG8" s="58" t="s">
        <v>107</v>
      </c>
      <c r="AH8" s="58" t="s">
        <v>369</v>
      </c>
      <c r="AI8" s="56" t="s">
        <v>371</v>
      </c>
      <c r="AJ8" s="64"/>
      <c r="AK8" s="58" t="s">
        <v>60</v>
      </c>
      <c r="AL8" s="58" t="s">
        <v>107</v>
      </c>
      <c r="AM8" s="58" t="s">
        <v>107</v>
      </c>
      <c r="AN8" s="58" t="s">
        <v>107</v>
      </c>
      <c r="AO8" s="58" t="s">
        <v>342</v>
      </c>
      <c r="AQ8" s="56" t="s">
        <v>354</v>
      </c>
      <c r="AR8" s="56" t="s">
        <v>370</v>
      </c>
      <c r="AS8" s="58" t="s">
        <v>107</v>
      </c>
      <c r="AU8" s="56" t="s">
        <v>141</v>
      </c>
      <c r="AV8" s="58" t="s">
        <v>137</v>
      </c>
      <c r="AW8" s="58"/>
      <c r="AX8" s="58" t="s">
        <v>107</v>
      </c>
      <c r="AY8" s="58"/>
      <c r="AZ8" s="58" t="s">
        <v>122</v>
      </c>
      <c r="BA8" s="58" t="s">
        <v>60</v>
      </c>
      <c r="BB8" s="58" t="s">
        <v>107</v>
      </c>
      <c r="BC8" s="58" t="s">
        <v>121</v>
      </c>
      <c r="BD8" s="58" t="s">
        <v>107</v>
      </c>
      <c r="BE8" s="58" t="s">
        <v>107</v>
      </c>
      <c r="BF8" s="56" t="s">
        <v>60</v>
      </c>
      <c r="BG8" s="58" t="s">
        <v>107</v>
      </c>
      <c r="BH8" s="58" t="s">
        <v>107</v>
      </c>
      <c r="BI8" s="56" t="s">
        <v>60</v>
      </c>
      <c r="BJ8" s="56" t="s">
        <v>60</v>
      </c>
      <c r="BK8" s="56" t="s">
        <v>60</v>
      </c>
      <c r="BL8" s="58" t="s">
        <v>107</v>
      </c>
      <c r="BN8" s="56" t="s">
        <v>147</v>
      </c>
      <c r="BO8" s="56" t="s">
        <v>153</v>
      </c>
      <c r="BP8" s="56" t="s">
        <v>154</v>
      </c>
      <c r="BQ8" s="56" t="s">
        <v>145</v>
      </c>
      <c r="BR8" s="56" t="s">
        <v>33</v>
      </c>
      <c r="BS8" s="56" t="s">
        <v>146</v>
      </c>
      <c r="BT8" s="58" t="s">
        <v>107</v>
      </c>
      <c r="BU8" s="58" t="s">
        <v>107</v>
      </c>
      <c r="BV8" s="58" t="s">
        <v>107</v>
      </c>
      <c r="DE8" s="54"/>
      <c r="DF8" s="54"/>
    </row>
    <row r="9" spans="1:163" s="59" customFormat="1" ht="409.6">
      <c r="B9" s="61" t="s">
        <v>325</v>
      </c>
      <c r="C9"/>
      <c r="D9" s="56" t="s">
        <v>60</v>
      </c>
      <c r="E9" s="56" t="s">
        <v>60</v>
      </c>
      <c r="F9" s="56" t="s">
        <v>60</v>
      </c>
      <c r="G9" s="56" t="s">
        <v>60</v>
      </c>
      <c r="H9" s="56" t="s">
        <v>60</v>
      </c>
      <c r="I9" s="56" t="s">
        <v>107</v>
      </c>
      <c r="J9" s="56" t="s">
        <v>107</v>
      </c>
      <c r="L9" s="56" t="s">
        <v>107</v>
      </c>
      <c r="M9" s="56" t="s">
        <v>111</v>
      </c>
      <c r="N9" s="56" t="s">
        <v>356</v>
      </c>
      <c r="O9" s="56" t="s">
        <v>359</v>
      </c>
      <c r="P9" s="64"/>
      <c r="Q9" s="56" t="s">
        <v>107</v>
      </c>
      <c r="R9" s="58" t="s">
        <v>132</v>
      </c>
      <c r="S9" s="56" t="s">
        <v>107</v>
      </c>
      <c r="T9" s="56" t="s">
        <v>359</v>
      </c>
      <c r="U9" s="64"/>
      <c r="V9" s="56" t="s">
        <v>107</v>
      </c>
      <c r="W9" s="58" t="s">
        <v>133</v>
      </c>
      <c r="X9" s="56" t="s">
        <v>107</v>
      </c>
      <c r="Y9" s="56" t="s">
        <v>296</v>
      </c>
      <c r="Z9" s="64"/>
      <c r="AA9" s="58" t="s">
        <v>107</v>
      </c>
      <c r="AB9" s="58" t="s">
        <v>107</v>
      </c>
      <c r="AC9" s="58" t="s">
        <v>107</v>
      </c>
      <c r="AD9" s="58" t="s">
        <v>107</v>
      </c>
      <c r="AE9" s="64"/>
      <c r="AF9" s="58" t="s">
        <v>288</v>
      </c>
      <c r="AG9" s="58" t="s">
        <v>107</v>
      </c>
      <c r="AH9" s="58" t="s">
        <v>289</v>
      </c>
      <c r="AI9" s="56" t="s">
        <v>359</v>
      </c>
      <c r="AJ9" s="64"/>
      <c r="AK9" s="58" t="s">
        <v>107</v>
      </c>
      <c r="AL9" s="58" t="s">
        <v>341</v>
      </c>
      <c r="AM9" s="58" t="s">
        <v>107</v>
      </c>
      <c r="AN9" s="58" t="s">
        <v>107</v>
      </c>
      <c r="AO9" s="58" t="s">
        <v>342</v>
      </c>
      <c r="AQ9" s="56" t="s">
        <v>354</v>
      </c>
      <c r="AR9" s="56" t="s">
        <v>370</v>
      </c>
      <c r="AS9" s="58" t="s">
        <v>107</v>
      </c>
      <c r="AU9" s="56" t="s">
        <v>141</v>
      </c>
      <c r="AV9" s="58" t="s">
        <v>327</v>
      </c>
      <c r="AW9" s="58"/>
      <c r="AX9" s="58" t="s">
        <v>107</v>
      </c>
      <c r="AY9" s="58"/>
      <c r="AZ9" s="58" t="s">
        <v>122</v>
      </c>
      <c r="BA9" s="58" t="s">
        <v>60</v>
      </c>
      <c r="BB9" s="58" t="s">
        <v>107</v>
      </c>
      <c r="BC9" s="58" t="s">
        <v>121</v>
      </c>
      <c r="BD9" s="58" t="s">
        <v>107</v>
      </c>
      <c r="BE9" s="58" t="s">
        <v>107</v>
      </c>
      <c r="BF9" s="56" t="s">
        <v>60</v>
      </c>
      <c r="BG9" s="58" t="s">
        <v>107</v>
      </c>
      <c r="BH9" s="58" t="s">
        <v>107</v>
      </c>
      <c r="BI9" s="56" t="s">
        <v>60</v>
      </c>
      <c r="BJ9" s="56" t="s">
        <v>60</v>
      </c>
      <c r="BK9" s="56" t="s">
        <v>60</v>
      </c>
      <c r="BL9" s="58" t="s">
        <v>107</v>
      </c>
      <c r="BN9" s="56" t="s">
        <v>147</v>
      </c>
      <c r="BO9" s="56" t="s">
        <v>153</v>
      </c>
      <c r="BP9" s="56" t="s">
        <v>154</v>
      </c>
      <c r="BQ9" s="56" t="s">
        <v>145</v>
      </c>
      <c r="BR9" s="56" t="s">
        <v>33</v>
      </c>
      <c r="BS9" s="56" t="s">
        <v>146</v>
      </c>
      <c r="BT9" s="58" t="s">
        <v>107</v>
      </c>
      <c r="BU9" s="58" t="s">
        <v>107</v>
      </c>
      <c r="BV9" s="58" t="s">
        <v>107</v>
      </c>
      <c r="DE9" s="54"/>
      <c r="DF9" s="54"/>
    </row>
    <row r="10" spans="1:163" s="59" customFormat="1" ht="409.6">
      <c r="A10" s="54"/>
      <c r="B10" s="55" t="s">
        <v>27</v>
      </c>
      <c r="C10"/>
      <c r="D10" s="56" t="s">
        <v>107</v>
      </c>
      <c r="E10" s="56" t="s">
        <v>107</v>
      </c>
      <c r="F10" s="57" t="s">
        <v>60</v>
      </c>
      <c r="G10" s="56" t="s">
        <v>107</v>
      </c>
      <c r="H10" s="56" t="s">
        <v>107</v>
      </c>
      <c r="I10" s="56" t="s">
        <v>107</v>
      </c>
      <c r="J10" s="57" t="s">
        <v>273</v>
      </c>
      <c r="L10" s="56" t="s">
        <v>295</v>
      </c>
      <c r="M10" s="58" t="s">
        <v>132</v>
      </c>
      <c r="N10" s="56" t="s">
        <v>367</v>
      </c>
      <c r="O10" s="56" t="s">
        <v>360</v>
      </c>
      <c r="P10" s="64"/>
      <c r="Q10" s="56" t="s">
        <v>107</v>
      </c>
      <c r="R10" s="58" t="s">
        <v>132</v>
      </c>
      <c r="S10" s="56" t="s">
        <v>107</v>
      </c>
      <c r="T10" s="56" t="s">
        <v>361</v>
      </c>
      <c r="U10" s="64"/>
      <c r="V10" s="56" t="s">
        <v>107</v>
      </c>
      <c r="W10" s="58" t="s">
        <v>133</v>
      </c>
      <c r="X10" s="56" t="s">
        <v>107</v>
      </c>
      <c r="Y10" s="56" t="s">
        <v>360</v>
      </c>
      <c r="Z10" s="64"/>
      <c r="AA10" s="58" t="s">
        <v>107</v>
      </c>
      <c r="AB10" s="58" t="s">
        <v>107</v>
      </c>
      <c r="AC10" s="58" t="s">
        <v>107</v>
      </c>
      <c r="AD10" s="58" t="s">
        <v>107</v>
      </c>
      <c r="AE10" s="64"/>
      <c r="AF10" s="58" t="s">
        <v>60</v>
      </c>
      <c r="AG10" s="58" t="s">
        <v>283</v>
      </c>
      <c r="AH10" s="56" t="s">
        <v>367</v>
      </c>
      <c r="AI10" s="58" t="s">
        <v>362</v>
      </c>
      <c r="AJ10" s="64"/>
      <c r="AK10" s="60" t="s">
        <v>60</v>
      </c>
      <c r="AL10" s="58" t="s">
        <v>107</v>
      </c>
      <c r="AM10" s="58" t="s">
        <v>107</v>
      </c>
      <c r="AN10" s="60" t="s">
        <v>273</v>
      </c>
      <c r="AO10" s="58" t="s">
        <v>366</v>
      </c>
      <c r="AQ10" s="56" t="s">
        <v>368</v>
      </c>
      <c r="AR10" s="58" t="s">
        <v>107</v>
      </c>
      <c r="AS10" s="58" t="s">
        <v>107</v>
      </c>
      <c r="AU10" s="56" t="s">
        <v>130</v>
      </c>
      <c r="AV10" s="58" t="s">
        <v>136</v>
      </c>
      <c r="AW10" s="58" t="s">
        <v>148</v>
      </c>
      <c r="AX10" s="58" t="s">
        <v>301</v>
      </c>
      <c r="AY10" s="58" t="s">
        <v>302</v>
      </c>
      <c r="AZ10" s="58" t="s">
        <v>122</v>
      </c>
      <c r="BA10" s="58" t="s">
        <v>60</v>
      </c>
      <c r="BB10" s="58" t="s">
        <v>107</v>
      </c>
      <c r="BC10" s="58" t="s">
        <v>121</v>
      </c>
      <c r="BD10" s="58" t="s">
        <v>123</v>
      </c>
      <c r="BE10" s="58" t="s">
        <v>118</v>
      </c>
      <c r="BF10" s="56" t="s">
        <v>60</v>
      </c>
      <c r="BG10" s="58" t="s">
        <v>107</v>
      </c>
      <c r="BH10" s="58" t="s">
        <v>107</v>
      </c>
      <c r="BI10" s="56" t="s">
        <v>60</v>
      </c>
      <c r="BJ10" s="56" t="s">
        <v>60</v>
      </c>
      <c r="BK10" s="56" t="s">
        <v>128</v>
      </c>
      <c r="BL10" s="58" t="s">
        <v>107</v>
      </c>
      <c r="BN10" s="56" t="s">
        <v>149</v>
      </c>
      <c r="BO10" s="56" t="s">
        <v>120</v>
      </c>
      <c r="BP10" s="56" t="s">
        <v>119</v>
      </c>
      <c r="BQ10" s="56" t="s">
        <v>143</v>
      </c>
      <c r="BR10" s="56" t="s">
        <v>129</v>
      </c>
      <c r="BS10" s="56" t="s">
        <v>134</v>
      </c>
      <c r="BT10" s="58" t="s">
        <v>60</v>
      </c>
      <c r="BU10" s="58" t="s">
        <v>60</v>
      </c>
      <c r="BV10" s="58" t="s">
        <v>60</v>
      </c>
    </row>
    <row r="11" spans="1:163" ht="35" customHeight="1">
      <c r="AY11" s="66"/>
    </row>
    <row r="12" spans="1:163" s="59" customFormat="1" ht="240">
      <c r="B12" s="55" t="s">
        <v>266</v>
      </c>
      <c r="C12"/>
      <c r="D12" s="56" t="s">
        <v>107</v>
      </c>
      <c r="E12" s="56" t="s">
        <v>107</v>
      </c>
      <c r="F12" s="56" t="s">
        <v>107</v>
      </c>
      <c r="G12" s="56" t="s">
        <v>107</v>
      </c>
      <c r="H12" s="56" t="s">
        <v>60</v>
      </c>
      <c r="I12" s="56" t="s">
        <v>107</v>
      </c>
      <c r="J12" s="56" t="s">
        <v>107</v>
      </c>
      <c r="L12" s="56" t="s">
        <v>107</v>
      </c>
      <c r="M12" s="56" t="s">
        <v>107</v>
      </c>
      <c r="N12" s="56" t="s">
        <v>316</v>
      </c>
      <c r="O12" s="56" t="s">
        <v>363</v>
      </c>
      <c r="P12" s="64"/>
      <c r="Q12" s="58" t="s">
        <v>107</v>
      </c>
      <c r="R12" s="56" t="s">
        <v>107</v>
      </c>
      <c r="S12" s="56" t="s">
        <v>107</v>
      </c>
      <c r="T12" s="56" t="s">
        <v>107</v>
      </c>
      <c r="U12" s="64"/>
      <c r="V12" s="58" t="s">
        <v>107</v>
      </c>
      <c r="W12" s="58" t="s">
        <v>107</v>
      </c>
      <c r="X12" s="58" t="s">
        <v>107</v>
      </c>
      <c r="Y12" s="58" t="s">
        <v>107</v>
      </c>
      <c r="Z12" s="64"/>
      <c r="AA12" s="58" t="s">
        <v>107</v>
      </c>
      <c r="AB12" s="58" t="s">
        <v>107</v>
      </c>
      <c r="AC12" s="58" t="s">
        <v>60</v>
      </c>
      <c r="AD12" s="56" t="s">
        <v>290</v>
      </c>
      <c r="AE12" s="64"/>
      <c r="AF12" s="58" t="s">
        <v>107</v>
      </c>
      <c r="AG12" s="58" t="s">
        <v>107</v>
      </c>
      <c r="AH12" s="56" t="s">
        <v>291</v>
      </c>
      <c r="AI12" s="56" t="s">
        <v>363</v>
      </c>
      <c r="AJ12" s="64"/>
      <c r="AK12" s="58" t="s">
        <v>60</v>
      </c>
      <c r="AL12" s="58" t="s">
        <v>107</v>
      </c>
      <c r="AM12" s="58" t="s">
        <v>107</v>
      </c>
      <c r="AN12" s="58" t="s">
        <v>107</v>
      </c>
      <c r="AO12" s="58" t="s">
        <v>107</v>
      </c>
      <c r="AQ12" s="58" t="s">
        <v>107</v>
      </c>
      <c r="AR12" s="58" t="s">
        <v>107</v>
      </c>
      <c r="AS12" s="58" t="s">
        <v>107</v>
      </c>
      <c r="AU12" s="56" t="s">
        <v>190</v>
      </c>
      <c r="AV12" s="58" t="s">
        <v>188</v>
      </c>
      <c r="AW12" s="58" t="s">
        <v>190</v>
      </c>
      <c r="AX12" s="58" t="s">
        <v>107</v>
      </c>
      <c r="AY12" s="58"/>
      <c r="AZ12" s="58" t="s">
        <v>60</v>
      </c>
      <c r="BA12" s="58" t="s">
        <v>60</v>
      </c>
      <c r="BB12" s="58" t="s">
        <v>107</v>
      </c>
      <c r="BC12" s="58" t="s">
        <v>60</v>
      </c>
      <c r="BD12" s="58"/>
      <c r="BE12" s="58" t="s">
        <v>107</v>
      </c>
      <c r="BF12" s="56" t="s">
        <v>60</v>
      </c>
      <c r="BG12" s="58" t="s">
        <v>107</v>
      </c>
      <c r="BH12" s="58" t="s">
        <v>107</v>
      </c>
      <c r="BI12" s="58" t="s">
        <v>107</v>
      </c>
      <c r="BJ12" s="58" t="s">
        <v>107</v>
      </c>
      <c r="BK12" s="58" t="s">
        <v>107</v>
      </c>
      <c r="BL12" s="58" t="s">
        <v>107</v>
      </c>
      <c r="BN12" s="56"/>
      <c r="BO12" s="56" t="s">
        <v>120</v>
      </c>
      <c r="BP12" s="56"/>
      <c r="BQ12" s="56"/>
      <c r="BR12" s="56"/>
      <c r="BS12" s="56"/>
      <c r="BT12" s="58" t="s">
        <v>60</v>
      </c>
      <c r="BU12" s="58" t="s">
        <v>107</v>
      </c>
      <c r="BV12" s="58" t="s">
        <v>107</v>
      </c>
    </row>
    <row r="13" spans="1:163" s="59" customFormat="1" ht="288">
      <c r="B13" s="55" t="s">
        <v>44</v>
      </c>
      <c r="C13"/>
      <c r="D13" s="56" t="s">
        <v>107</v>
      </c>
      <c r="E13" s="56" t="s">
        <v>107</v>
      </c>
      <c r="F13" s="56" t="s">
        <v>107</v>
      </c>
      <c r="G13" s="56" t="s">
        <v>107</v>
      </c>
      <c r="H13" s="56" t="s">
        <v>60</v>
      </c>
      <c r="I13" s="56" t="s">
        <v>107</v>
      </c>
      <c r="J13" s="56" t="s">
        <v>107</v>
      </c>
      <c r="L13" s="56" t="s">
        <v>107</v>
      </c>
      <c r="M13" s="56" t="s">
        <v>107</v>
      </c>
      <c r="N13" s="56" t="s">
        <v>357</v>
      </c>
      <c r="O13" s="56" t="s">
        <v>363</v>
      </c>
      <c r="P13" s="64"/>
      <c r="Q13" s="58" t="s">
        <v>107</v>
      </c>
      <c r="R13" s="56" t="s">
        <v>107</v>
      </c>
      <c r="S13" s="56" t="s">
        <v>107</v>
      </c>
      <c r="T13" s="56" t="s">
        <v>107</v>
      </c>
      <c r="U13" s="64"/>
      <c r="V13" s="58" t="s">
        <v>107</v>
      </c>
      <c r="W13" s="58" t="s">
        <v>107</v>
      </c>
      <c r="X13" s="58" t="s">
        <v>107</v>
      </c>
      <c r="Y13" s="58" t="s">
        <v>107</v>
      </c>
      <c r="Z13" s="64"/>
      <c r="AA13" s="58" t="s">
        <v>107</v>
      </c>
      <c r="AB13" s="58" t="s">
        <v>107</v>
      </c>
      <c r="AC13" s="58" t="s">
        <v>107</v>
      </c>
      <c r="AD13" s="58" t="s">
        <v>107</v>
      </c>
      <c r="AE13" s="64"/>
      <c r="AF13" s="58" t="s">
        <v>107</v>
      </c>
      <c r="AG13" s="58" t="s">
        <v>107</v>
      </c>
      <c r="AH13" s="56" t="s">
        <v>350</v>
      </c>
      <c r="AI13" s="56" t="s">
        <v>363</v>
      </c>
      <c r="AJ13" s="64"/>
      <c r="AK13" s="58" t="s">
        <v>60</v>
      </c>
      <c r="AL13" s="58" t="s">
        <v>107</v>
      </c>
      <c r="AM13" s="58" t="s">
        <v>107</v>
      </c>
      <c r="AN13" s="58" t="s">
        <v>107</v>
      </c>
      <c r="AO13" s="58" t="s">
        <v>107</v>
      </c>
      <c r="AQ13" s="58" t="s">
        <v>107</v>
      </c>
      <c r="AR13" s="58" t="s">
        <v>107</v>
      </c>
      <c r="AS13" s="58" t="s">
        <v>107</v>
      </c>
      <c r="AU13" s="58"/>
      <c r="AV13" s="58" t="s">
        <v>188</v>
      </c>
      <c r="AW13" s="58" t="s">
        <v>190</v>
      </c>
      <c r="AX13" s="58" t="s">
        <v>107</v>
      </c>
      <c r="AY13" s="58"/>
      <c r="AZ13" s="58" t="s">
        <v>60</v>
      </c>
      <c r="BA13" s="58" t="s">
        <v>60</v>
      </c>
      <c r="BB13" s="58" t="s">
        <v>107</v>
      </c>
      <c r="BC13" s="58" t="s">
        <v>60</v>
      </c>
      <c r="BD13" s="58"/>
      <c r="BE13" s="58" t="s">
        <v>107</v>
      </c>
      <c r="BF13" s="56" t="s">
        <v>60</v>
      </c>
      <c r="BG13" s="58" t="s">
        <v>107</v>
      </c>
      <c r="BH13" s="58" t="s">
        <v>107</v>
      </c>
      <c r="BI13" s="58" t="s">
        <v>107</v>
      </c>
      <c r="BJ13" s="58" t="s">
        <v>107</v>
      </c>
      <c r="BK13" s="58" t="s">
        <v>107</v>
      </c>
      <c r="BL13" s="58" t="s">
        <v>107</v>
      </c>
      <c r="BN13" s="56"/>
      <c r="BO13" s="56" t="s">
        <v>120</v>
      </c>
      <c r="BP13" s="56"/>
      <c r="BQ13" s="56"/>
      <c r="BR13" s="56"/>
      <c r="BS13" s="56"/>
      <c r="BT13" s="58" t="s">
        <v>60</v>
      </c>
      <c r="BU13" s="58" t="s">
        <v>107</v>
      </c>
      <c r="BV13" s="58" t="s">
        <v>107</v>
      </c>
    </row>
    <row r="14" spans="1:163" s="59" customFormat="1" ht="348" customHeight="1">
      <c r="A14" s="54"/>
      <c r="B14" s="55" t="s">
        <v>48</v>
      </c>
      <c r="C14"/>
      <c r="D14" s="56" t="s">
        <v>60</v>
      </c>
      <c r="E14" s="56" t="s">
        <v>107</v>
      </c>
      <c r="F14" s="56" t="s">
        <v>107</v>
      </c>
      <c r="G14" s="56" t="s">
        <v>60</v>
      </c>
      <c r="H14" s="56" t="s">
        <v>60</v>
      </c>
      <c r="I14" s="56" t="s">
        <v>107</v>
      </c>
      <c r="J14" s="56" t="s">
        <v>107</v>
      </c>
      <c r="L14" s="56" t="s">
        <v>107</v>
      </c>
      <c r="M14" s="56" t="s">
        <v>206</v>
      </c>
      <c r="N14" s="56" t="s">
        <v>107</v>
      </c>
      <c r="O14" s="56" t="s">
        <v>363</v>
      </c>
      <c r="P14" s="64"/>
      <c r="Q14" s="58" t="s">
        <v>107</v>
      </c>
      <c r="R14" s="58" t="s">
        <v>132</v>
      </c>
      <c r="S14" s="56" t="s">
        <v>107</v>
      </c>
      <c r="T14" s="56" t="s">
        <v>285</v>
      </c>
      <c r="U14" s="64"/>
      <c r="V14" s="58" t="s">
        <v>107</v>
      </c>
      <c r="W14" s="58" t="s">
        <v>298</v>
      </c>
      <c r="X14" s="58" t="s">
        <v>107</v>
      </c>
      <c r="Y14" s="56" t="s">
        <v>349</v>
      </c>
      <c r="Z14" s="64"/>
      <c r="AA14" s="58" t="s">
        <v>107</v>
      </c>
      <c r="AB14" s="58" t="s">
        <v>107</v>
      </c>
      <c r="AC14" s="58" t="s">
        <v>107</v>
      </c>
      <c r="AD14" s="58" t="s">
        <v>107</v>
      </c>
      <c r="AE14" s="64"/>
      <c r="AF14" s="58" t="s">
        <v>107</v>
      </c>
      <c r="AG14" s="58" t="s">
        <v>107</v>
      </c>
      <c r="AH14" s="56" t="s">
        <v>245</v>
      </c>
      <c r="AI14" s="56" t="s">
        <v>363</v>
      </c>
      <c r="AJ14" s="64"/>
      <c r="AK14" s="58" t="s">
        <v>60</v>
      </c>
      <c r="AL14" s="58" t="s">
        <v>107</v>
      </c>
      <c r="AM14" s="62" t="s">
        <v>107</v>
      </c>
      <c r="AN14" s="62" t="s">
        <v>107</v>
      </c>
      <c r="AO14" s="58" t="s">
        <v>107</v>
      </c>
      <c r="AQ14" s="58" t="s">
        <v>107</v>
      </c>
      <c r="AR14" s="58" t="s">
        <v>60</v>
      </c>
      <c r="AS14" s="58" t="s">
        <v>107</v>
      </c>
      <c r="AU14" s="56" t="s">
        <v>227</v>
      </c>
      <c r="AV14" s="58" t="s">
        <v>229</v>
      </c>
      <c r="AW14" s="58" t="s">
        <v>235</v>
      </c>
      <c r="AX14" s="58" t="s">
        <v>107</v>
      </c>
      <c r="AY14" s="58" t="s">
        <v>308</v>
      </c>
      <c r="AZ14" s="58" t="s">
        <v>60</v>
      </c>
      <c r="BA14" s="58" t="s">
        <v>60</v>
      </c>
      <c r="BB14" s="58" t="s">
        <v>60</v>
      </c>
      <c r="BC14" s="58" t="s">
        <v>60</v>
      </c>
      <c r="BD14" s="58" t="s">
        <v>211</v>
      </c>
      <c r="BE14" s="58" t="s">
        <v>107</v>
      </c>
      <c r="BF14" s="56" t="s">
        <v>60</v>
      </c>
      <c r="BG14" s="58" t="s">
        <v>107</v>
      </c>
      <c r="BH14" s="58" t="s">
        <v>107</v>
      </c>
      <c r="BI14" s="56" t="s">
        <v>60</v>
      </c>
      <c r="BJ14" s="56" t="s">
        <v>60</v>
      </c>
      <c r="BK14" s="58" t="s">
        <v>107</v>
      </c>
      <c r="BL14" s="58" t="s">
        <v>107</v>
      </c>
      <c r="BN14" s="56" t="s">
        <v>214</v>
      </c>
      <c r="BO14" s="56" t="s">
        <v>120</v>
      </c>
      <c r="BP14" s="56" t="s">
        <v>234</v>
      </c>
      <c r="BQ14" s="56" t="s">
        <v>240</v>
      </c>
      <c r="BR14" s="56" t="s">
        <v>179</v>
      </c>
      <c r="BS14" s="56" t="s">
        <v>242</v>
      </c>
      <c r="BT14" s="58" t="s">
        <v>107</v>
      </c>
      <c r="BU14" s="58" t="s">
        <v>107</v>
      </c>
      <c r="BV14" s="58" t="s">
        <v>107</v>
      </c>
    </row>
    <row r="15" spans="1:163" s="59" customFormat="1" ht="384">
      <c r="A15" s="54"/>
      <c r="B15" s="55" t="s">
        <v>215</v>
      </c>
      <c r="C15"/>
      <c r="D15" s="56" t="s">
        <v>60</v>
      </c>
      <c r="E15" s="56" t="s">
        <v>107</v>
      </c>
      <c r="F15" s="56" t="s">
        <v>107</v>
      </c>
      <c r="G15" s="56" t="s">
        <v>60</v>
      </c>
      <c r="H15" s="56" t="s">
        <v>60</v>
      </c>
      <c r="I15" s="56" t="s">
        <v>107</v>
      </c>
      <c r="J15" s="56" t="s">
        <v>107</v>
      </c>
      <c r="L15" s="56" t="s">
        <v>107</v>
      </c>
      <c r="M15" s="56" t="s">
        <v>244</v>
      </c>
      <c r="N15" s="56" t="s">
        <v>107</v>
      </c>
      <c r="O15" s="56" t="s">
        <v>363</v>
      </c>
      <c r="P15" s="64"/>
      <c r="Q15" s="58" t="s">
        <v>107</v>
      </c>
      <c r="R15" s="58" t="s">
        <v>132</v>
      </c>
      <c r="S15" s="56" t="s">
        <v>107</v>
      </c>
      <c r="T15" s="56" t="s">
        <v>285</v>
      </c>
      <c r="U15" s="64"/>
      <c r="V15" s="58" t="s">
        <v>107</v>
      </c>
      <c r="W15" s="58" t="s">
        <v>298</v>
      </c>
      <c r="X15" s="58" t="s">
        <v>107</v>
      </c>
      <c r="Y15" s="56" t="s">
        <v>349</v>
      </c>
      <c r="Z15" s="64"/>
      <c r="AA15" s="58" t="s">
        <v>107</v>
      </c>
      <c r="AB15" s="58" t="s">
        <v>107</v>
      </c>
      <c r="AC15" s="58" t="s">
        <v>107</v>
      </c>
      <c r="AD15" s="58" t="s">
        <v>107</v>
      </c>
      <c r="AE15" s="64"/>
      <c r="AF15" s="58" t="s">
        <v>107</v>
      </c>
      <c r="AG15" s="58" t="s">
        <v>132</v>
      </c>
      <c r="AH15" s="56" t="s">
        <v>245</v>
      </c>
      <c r="AI15" s="56" t="s">
        <v>363</v>
      </c>
      <c r="AJ15" s="64"/>
      <c r="AK15" s="58" t="s">
        <v>60</v>
      </c>
      <c r="AL15" s="62" t="s">
        <v>107</v>
      </c>
      <c r="AM15" s="62" t="s">
        <v>107</v>
      </c>
      <c r="AN15" s="62" t="s">
        <v>107</v>
      </c>
      <c r="AO15" s="58" t="s">
        <v>353</v>
      </c>
      <c r="AQ15" s="58" t="s">
        <v>107</v>
      </c>
      <c r="AR15" s="58" t="s">
        <v>60</v>
      </c>
      <c r="AS15" s="58" t="s">
        <v>107</v>
      </c>
      <c r="AU15" s="56" t="s">
        <v>236</v>
      </c>
      <c r="AV15" s="58" t="s">
        <v>229</v>
      </c>
      <c r="AW15" s="58" t="s">
        <v>338</v>
      </c>
      <c r="AX15" s="58" t="s">
        <v>107</v>
      </c>
      <c r="AY15" s="58"/>
      <c r="AZ15" s="58" t="s">
        <v>60</v>
      </c>
      <c r="BA15" s="58" t="s">
        <v>60</v>
      </c>
      <c r="BB15" s="58" t="s">
        <v>60</v>
      </c>
      <c r="BC15" s="58" t="s">
        <v>60</v>
      </c>
      <c r="BD15" s="58" t="s">
        <v>60</v>
      </c>
      <c r="BE15" s="58" t="s">
        <v>60</v>
      </c>
      <c r="BF15" s="56" t="s">
        <v>60</v>
      </c>
      <c r="BG15" s="56" t="s">
        <v>60</v>
      </c>
      <c r="BH15" s="56" t="s">
        <v>60</v>
      </c>
      <c r="BI15" s="56" t="s">
        <v>60</v>
      </c>
      <c r="BJ15" s="56" t="s">
        <v>60</v>
      </c>
      <c r="BK15" s="58" t="s">
        <v>107</v>
      </c>
      <c r="BL15" s="58" t="s">
        <v>107</v>
      </c>
      <c r="BN15" s="56" t="s">
        <v>247</v>
      </c>
      <c r="BO15" s="56" t="s">
        <v>120</v>
      </c>
      <c r="BP15" s="56" t="s">
        <v>250</v>
      </c>
      <c r="BQ15" s="56" t="s">
        <v>251</v>
      </c>
      <c r="BR15" s="56"/>
      <c r="BS15" s="56" t="s">
        <v>242</v>
      </c>
      <c r="BT15" s="58" t="s">
        <v>107</v>
      </c>
      <c r="BU15" s="58" t="s">
        <v>107</v>
      </c>
      <c r="BV15" s="58" t="s">
        <v>107</v>
      </c>
      <c r="FB15" s="54"/>
      <c r="FC15" s="54"/>
      <c r="FD15" s="54"/>
      <c r="FE15" s="54"/>
      <c r="FF15" s="54"/>
      <c r="FG15" s="54"/>
    </row>
    <row r="16" spans="1:163" ht="36" customHeight="1">
      <c r="AY16" s="66"/>
    </row>
    <row r="17" spans="1:81" s="59" customFormat="1" ht="240">
      <c r="B17" s="61" t="s">
        <v>267</v>
      </c>
      <c r="C17"/>
      <c r="D17" s="56" t="s">
        <v>107</v>
      </c>
      <c r="E17" s="56" t="s">
        <v>107</v>
      </c>
      <c r="F17" s="56" t="s">
        <v>107</v>
      </c>
      <c r="G17" s="56" t="s">
        <v>107</v>
      </c>
      <c r="H17" s="56" t="s">
        <v>107</v>
      </c>
      <c r="I17" s="56" t="s">
        <v>60</v>
      </c>
      <c r="J17" s="56" t="s">
        <v>60</v>
      </c>
      <c r="L17" s="56" t="s">
        <v>107</v>
      </c>
      <c r="M17" s="56" t="s">
        <v>107</v>
      </c>
      <c r="N17" s="56" t="s">
        <v>292</v>
      </c>
      <c r="O17" s="56" t="s">
        <v>348</v>
      </c>
      <c r="P17" s="64"/>
      <c r="Q17" s="58" t="s">
        <v>107</v>
      </c>
      <c r="R17" s="58" t="s">
        <v>107</v>
      </c>
      <c r="S17" s="56" t="s">
        <v>107</v>
      </c>
      <c r="T17" s="58" t="s">
        <v>107</v>
      </c>
      <c r="U17" s="64"/>
      <c r="V17" s="58" t="s">
        <v>107</v>
      </c>
      <c r="W17" s="58" t="s">
        <v>107</v>
      </c>
      <c r="X17" s="58" t="s">
        <v>107</v>
      </c>
      <c r="Y17" s="58" t="s">
        <v>107</v>
      </c>
      <c r="Z17" s="64"/>
      <c r="AA17" s="58" t="s">
        <v>107</v>
      </c>
      <c r="AB17" s="58" t="s">
        <v>107</v>
      </c>
      <c r="AC17" s="58" t="s">
        <v>282</v>
      </c>
      <c r="AD17" s="56" t="s">
        <v>304</v>
      </c>
      <c r="AE17" s="64"/>
      <c r="AF17" s="58" t="s">
        <v>107</v>
      </c>
      <c r="AG17" s="58" t="s">
        <v>107</v>
      </c>
      <c r="AH17" s="58" t="s">
        <v>107</v>
      </c>
      <c r="AI17" s="58" t="s">
        <v>107</v>
      </c>
      <c r="AJ17" s="64"/>
      <c r="AK17" s="58" t="s">
        <v>305</v>
      </c>
      <c r="AL17" s="62" t="s">
        <v>107</v>
      </c>
      <c r="AM17" s="58" t="s">
        <v>306</v>
      </c>
      <c r="AN17" s="58" t="s">
        <v>307</v>
      </c>
      <c r="AO17" s="58" t="s">
        <v>107</v>
      </c>
      <c r="AQ17" s="58" t="s">
        <v>107</v>
      </c>
      <c r="AR17" s="58" t="s">
        <v>107</v>
      </c>
      <c r="AS17" s="58" t="s">
        <v>107</v>
      </c>
      <c r="AU17" s="56" t="s">
        <v>190</v>
      </c>
      <c r="AV17" s="58" t="s">
        <v>188</v>
      </c>
      <c r="AW17" s="58" t="s">
        <v>190</v>
      </c>
      <c r="AX17" s="58" t="s">
        <v>275</v>
      </c>
      <c r="AY17" s="58"/>
      <c r="AZ17" s="58" t="s">
        <v>60</v>
      </c>
      <c r="BA17" s="58" t="s">
        <v>60</v>
      </c>
      <c r="BB17" s="58" t="s">
        <v>107</v>
      </c>
      <c r="BC17" s="58" t="s">
        <v>60</v>
      </c>
      <c r="BD17" s="58"/>
      <c r="BE17" s="58" t="s">
        <v>107</v>
      </c>
      <c r="BF17" s="58"/>
      <c r="BG17" s="58"/>
      <c r="BH17" s="58"/>
      <c r="BI17" s="58" t="s">
        <v>107</v>
      </c>
      <c r="BJ17" s="58" t="s">
        <v>107</v>
      </c>
      <c r="BK17" s="58" t="s">
        <v>107</v>
      </c>
      <c r="BL17" s="58" t="s">
        <v>311</v>
      </c>
      <c r="BN17" s="56"/>
      <c r="BO17" s="56" t="s">
        <v>120</v>
      </c>
      <c r="BP17" s="56"/>
      <c r="BQ17" s="56"/>
      <c r="BR17" s="56"/>
      <c r="BS17" s="56"/>
      <c r="BT17" s="58" t="s">
        <v>60</v>
      </c>
      <c r="BU17" s="58" t="s">
        <v>107</v>
      </c>
      <c r="BV17" s="58" t="s">
        <v>107</v>
      </c>
    </row>
    <row r="18" spans="1:81" s="59" customFormat="1" ht="409.6">
      <c r="B18" s="61" t="s">
        <v>223</v>
      </c>
      <c r="C18"/>
      <c r="D18" s="56" t="s">
        <v>107</v>
      </c>
      <c r="E18" s="56" t="s">
        <v>107</v>
      </c>
      <c r="F18" s="56" t="s">
        <v>107</v>
      </c>
      <c r="G18" s="56" t="s">
        <v>107</v>
      </c>
      <c r="H18" s="56" t="s">
        <v>107</v>
      </c>
      <c r="I18" s="56" t="s">
        <v>60</v>
      </c>
      <c r="J18" s="56" t="s">
        <v>60</v>
      </c>
      <c r="L18" s="56" t="s">
        <v>107</v>
      </c>
      <c r="M18" s="56" t="s">
        <v>329</v>
      </c>
      <c r="N18" s="56" t="s">
        <v>107</v>
      </c>
      <c r="O18" s="56" t="s">
        <v>364</v>
      </c>
      <c r="P18" s="64"/>
      <c r="Q18" s="58" t="s">
        <v>107</v>
      </c>
      <c r="R18" s="58" t="s">
        <v>286</v>
      </c>
      <c r="S18" s="56" t="s">
        <v>107</v>
      </c>
      <c r="T18" s="56" t="s">
        <v>365</v>
      </c>
      <c r="U18" s="64"/>
      <c r="V18" s="58" t="s">
        <v>107</v>
      </c>
      <c r="W18" s="58" t="s">
        <v>284</v>
      </c>
      <c r="X18" s="58" t="s">
        <v>107</v>
      </c>
      <c r="Y18" s="56" t="s">
        <v>365</v>
      </c>
      <c r="Z18" s="64"/>
      <c r="AA18" s="58" t="s">
        <v>107</v>
      </c>
      <c r="AB18" s="58" t="s">
        <v>107</v>
      </c>
      <c r="AC18" s="58" t="s">
        <v>107</v>
      </c>
      <c r="AD18" s="58" t="s">
        <v>107</v>
      </c>
      <c r="AE18" s="64"/>
      <c r="AF18" s="58" t="s">
        <v>107</v>
      </c>
      <c r="AG18" s="58" t="s">
        <v>107</v>
      </c>
      <c r="AH18" s="56" t="s">
        <v>245</v>
      </c>
      <c r="AI18" s="56" t="s">
        <v>365</v>
      </c>
      <c r="AJ18" s="64"/>
      <c r="AK18" s="58" t="s">
        <v>271</v>
      </c>
      <c r="AL18" s="62" t="s">
        <v>107</v>
      </c>
      <c r="AM18" s="58" t="s">
        <v>60</v>
      </c>
      <c r="AN18" s="62" t="s">
        <v>107</v>
      </c>
      <c r="AO18" s="58" t="s">
        <v>107</v>
      </c>
      <c r="AQ18" s="58" t="s">
        <v>107</v>
      </c>
      <c r="AR18" s="58" t="s">
        <v>107</v>
      </c>
      <c r="AS18" s="56" t="s">
        <v>277</v>
      </c>
      <c r="AU18" s="56"/>
      <c r="AV18" s="58" t="s">
        <v>276</v>
      </c>
      <c r="AW18" s="56"/>
      <c r="AX18" s="58" t="s">
        <v>107</v>
      </c>
      <c r="AY18" s="58"/>
      <c r="AZ18" s="58" t="s">
        <v>60</v>
      </c>
      <c r="BA18" s="58" t="s">
        <v>60</v>
      </c>
      <c r="BB18" s="58" t="s">
        <v>60</v>
      </c>
      <c r="BC18" s="58" t="s">
        <v>60</v>
      </c>
      <c r="BD18" s="58" t="s">
        <v>211</v>
      </c>
      <c r="BE18" s="58" t="s">
        <v>107</v>
      </c>
      <c r="BF18" s="56" t="s">
        <v>60</v>
      </c>
      <c r="BG18" s="56" t="s">
        <v>60</v>
      </c>
      <c r="BH18" s="56" t="s">
        <v>60</v>
      </c>
      <c r="BI18" s="56" t="s">
        <v>60</v>
      </c>
      <c r="BJ18" s="56" t="s">
        <v>60</v>
      </c>
      <c r="BK18" s="58" t="s">
        <v>107</v>
      </c>
      <c r="BL18" s="58" t="s">
        <v>311</v>
      </c>
      <c r="BN18" s="56" t="s">
        <v>214</v>
      </c>
      <c r="BO18" s="56" t="s">
        <v>120</v>
      </c>
      <c r="BP18" s="56" t="s">
        <v>234</v>
      </c>
      <c r="BQ18" s="56" t="s">
        <v>240</v>
      </c>
      <c r="BR18" s="56"/>
      <c r="BS18" s="56" t="s">
        <v>340</v>
      </c>
      <c r="BT18" s="58" t="s">
        <v>107</v>
      </c>
      <c r="BU18" s="58" t="s">
        <v>107</v>
      </c>
      <c r="BV18" s="58" t="s">
        <v>107</v>
      </c>
    </row>
    <row r="19" spans="1:81" s="59" customFormat="1" ht="409.6">
      <c r="B19" s="61" t="s">
        <v>196</v>
      </c>
      <c r="C19"/>
      <c r="D19" s="56" t="s">
        <v>60</v>
      </c>
      <c r="E19" s="56" t="s">
        <v>107</v>
      </c>
      <c r="F19" s="56" t="s">
        <v>107</v>
      </c>
      <c r="G19" s="56" t="s">
        <v>60</v>
      </c>
      <c r="H19" s="56" t="s">
        <v>60</v>
      </c>
      <c r="I19" s="56" t="s">
        <v>60</v>
      </c>
      <c r="J19" s="56" t="s">
        <v>60</v>
      </c>
      <c r="L19" s="56" t="s">
        <v>107</v>
      </c>
      <c r="M19" s="56" t="s">
        <v>213</v>
      </c>
      <c r="N19" s="56" t="s">
        <v>107</v>
      </c>
      <c r="O19" s="56" t="s">
        <v>347</v>
      </c>
      <c r="P19" s="64"/>
      <c r="Q19" s="58" t="s">
        <v>107</v>
      </c>
      <c r="R19" s="58" t="s">
        <v>132</v>
      </c>
      <c r="S19" s="56" t="s">
        <v>107</v>
      </c>
      <c r="T19" s="56" t="s">
        <v>270</v>
      </c>
      <c r="U19" s="64"/>
      <c r="V19" s="58" t="s">
        <v>107</v>
      </c>
      <c r="W19" s="58" t="s">
        <v>107</v>
      </c>
      <c r="X19" s="58" t="s">
        <v>107</v>
      </c>
      <c r="Y19" s="58" t="s">
        <v>107</v>
      </c>
      <c r="Z19" s="64"/>
      <c r="AA19" s="58" t="s">
        <v>107</v>
      </c>
      <c r="AB19" s="58" t="s">
        <v>107</v>
      </c>
      <c r="AC19" s="58" t="s">
        <v>107</v>
      </c>
      <c r="AD19" s="58" t="s">
        <v>107</v>
      </c>
      <c r="AE19" s="64"/>
      <c r="AF19" s="56" t="s">
        <v>107</v>
      </c>
      <c r="AG19" s="56" t="s">
        <v>213</v>
      </c>
      <c r="AH19" s="56" t="s">
        <v>107</v>
      </c>
      <c r="AI19" s="56" t="s">
        <v>270</v>
      </c>
      <c r="AJ19" s="64"/>
      <c r="AK19" s="58" t="s">
        <v>107</v>
      </c>
      <c r="AL19" s="62" t="s">
        <v>107</v>
      </c>
      <c r="AM19" s="58" t="s">
        <v>269</v>
      </c>
      <c r="AN19" s="58" t="s">
        <v>107</v>
      </c>
      <c r="AO19" s="58" t="s">
        <v>107</v>
      </c>
      <c r="AQ19" s="58" t="s">
        <v>107</v>
      </c>
      <c r="AR19" s="58" t="s">
        <v>107</v>
      </c>
      <c r="AS19" s="58" t="s">
        <v>107</v>
      </c>
      <c r="AU19" s="56" t="s">
        <v>207</v>
      </c>
      <c r="AV19" s="58" t="s">
        <v>198</v>
      </c>
      <c r="AW19" s="56"/>
      <c r="AX19" s="58" t="s">
        <v>107</v>
      </c>
      <c r="AY19" s="58" t="s">
        <v>303</v>
      </c>
      <c r="AZ19" s="58" t="s">
        <v>60</v>
      </c>
      <c r="BA19" s="58" t="s">
        <v>60</v>
      </c>
      <c r="BB19" s="58" t="s">
        <v>107</v>
      </c>
      <c r="BC19" s="58" t="s">
        <v>60</v>
      </c>
      <c r="BD19" s="58" t="s">
        <v>107</v>
      </c>
      <c r="BE19" s="58" t="s">
        <v>107</v>
      </c>
      <c r="BF19" s="58"/>
      <c r="BG19" s="58"/>
      <c r="BH19" s="58"/>
      <c r="BI19" s="58" t="s">
        <v>107</v>
      </c>
      <c r="BJ19" s="58" t="s">
        <v>107</v>
      </c>
      <c r="BK19" s="58" t="s">
        <v>107</v>
      </c>
      <c r="BL19" s="58" t="s">
        <v>107</v>
      </c>
      <c r="BN19" s="56" t="s">
        <v>209</v>
      </c>
      <c r="BO19" s="56" t="s">
        <v>120</v>
      </c>
      <c r="BP19" s="56" t="s">
        <v>218</v>
      </c>
      <c r="BQ19" s="56" t="s">
        <v>210</v>
      </c>
      <c r="BR19" s="56" t="s">
        <v>177</v>
      </c>
      <c r="BS19" s="56"/>
      <c r="BT19" s="58" t="s">
        <v>107</v>
      </c>
      <c r="BU19" s="58" t="s">
        <v>107</v>
      </c>
      <c r="BV19" s="58" t="s">
        <v>107</v>
      </c>
    </row>
    <row r="20" spans="1:81" s="59" customFormat="1" ht="409.6">
      <c r="B20" s="61" t="s">
        <v>42</v>
      </c>
      <c r="C20"/>
      <c r="D20" s="56" t="s">
        <v>107</v>
      </c>
      <c r="E20" s="56" t="s">
        <v>107</v>
      </c>
      <c r="F20" s="56" t="s">
        <v>107</v>
      </c>
      <c r="G20" s="56" t="s">
        <v>107</v>
      </c>
      <c r="H20" s="56" t="s">
        <v>107</v>
      </c>
      <c r="I20" s="56" t="s">
        <v>107</v>
      </c>
      <c r="J20" s="56" t="s">
        <v>60</v>
      </c>
      <c r="L20" s="56" t="s">
        <v>107</v>
      </c>
      <c r="M20" s="56" t="s">
        <v>331</v>
      </c>
      <c r="N20" s="56" t="s">
        <v>107</v>
      </c>
      <c r="O20" s="56" t="s">
        <v>330</v>
      </c>
      <c r="P20" s="64"/>
      <c r="Q20" s="58" t="s">
        <v>107</v>
      </c>
      <c r="R20" s="56" t="s">
        <v>331</v>
      </c>
      <c r="S20" s="58" t="s">
        <v>107</v>
      </c>
      <c r="T20" s="56" t="s">
        <v>330</v>
      </c>
      <c r="U20" s="64"/>
      <c r="V20" s="58" t="s">
        <v>107</v>
      </c>
      <c r="W20" s="58" t="s">
        <v>107</v>
      </c>
      <c r="X20" s="58" t="s">
        <v>107</v>
      </c>
      <c r="Y20" s="58" t="s">
        <v>107</v>
      </c>
      <c r="Z20" s="64"/>
      <c r="AA20" s="58" t="s">
        <v>107</v>
      </c>
      <c r="AB20" s="58" t="s">
        <v>107</v>
      </c>
      <c r="AC20" s="58" t="s">
        <v>107</v>
      </c>
      <c r="AD20" s="58" t="s">
        <v>107</v>
      </c>
      <c r="AE20" s="64"/>
      <c r="AF20" s="58" t="s">
        <v>107</v>
      </c>
      <c r="AG20" s="56" t="s">
        <v>331</v>
      </c>
      <c r="AH20" s="58" t="s">
        <v>107</v>
      </c>
      <c r="AI20" s="56" t="s">
        <v>330</v>
      </c>
      <c r="AJ20" s="64"/>
      <c r="AK20" s="58" t="s">
        <v>107</v>
      </c>
      <c r="AL20" s="58" t="s">
        <v>107</v>
      </c>
      <c r="AM20" s="58" t="s">
        <v>107</v>
      </c>
      <c r="AN20" s="58" t="s">
        <v>60</v>
      </c>
      <c r="AO20" s="58" t="s">
        <v>107</v>
      </c>
      <c r="AQ20" s="58" t="s">
        <v>107</v>
      </c>
      <c r="AR20" s="58" t="s">
        <v>107</v>
      </c>
      <c r="AS20" s="58" t="s">
        <v>107</v>
      </c>
      <c r="AU20" s="58" t="s">
        <v>107</v>
      </c>
      <c r="AV20" s="58" t="s">
        <v>333</v>
      </c>
      <c r="AW20" s="58" t="s">
        <v>338</v>
      </c>
      <c r="AX20" s="58" t="s">
        <v>335</v>
      </c>
      <c r="AY20" s="58" t="s">
        <v>334</v>
      </c>
      <c r="AZ20" s="58" t="s">
        <v>60</v>
      </c>
      <c r="BA20" s="58" t="s">
        <v>60</v>
      </c>
      <c r="BB20" s="58" t="s">
        <v>107</v>
      </c>
      <c r="BC20" s="58" t="s">
        <v>60</v>
      </c>
      <c r="BD20" s="58" t="s">
        <v>107</v>
      </c>
      <c r="BE20" s="58" t="s">
        <v>107</v>
      </c>
      <c r="BF20" s="56" t="s">
        <v>60</v>
      </c>
      <c r="BG20" s="58" t="s">
        <v>107</v>
      </c>
      <c r="BH20" s="58" t="s">
        <v>107</v>
      </c>
      <c r="BI20" s="58" t="s">
        <v>107</v>
      </c>
      <c r="BJ20" s="58" t="s">
        <v>107</v>
      </c>
      <c r="BK20" s="58" t="s">
        <v>107</v>
      </c>
      <c r="BL20" s="58" t="s">
        <v>311</v>
      </c>
      <c r="BN20" s="56" t="s">
        <v>336</v>
      </c>
      <c r="BO20" s="56" t="s">
        <v>120</v>
      </c>
      <c r="BP20" s="56" t="s">
        <v>337</v>
      </c>
      <c r="BQ20" s="56" t="s">
        <v>339</v>
      </c>
      <c r="BR20" s="56" t="s">
        <v>178</v>
      </c>
      <c r="BS20" s="56" t="s">
        <v>340</v>
      </c>
      <c r="BT20" s="58" t="s">
        <v>107</v>
      </c>
      <c r="BU20" s="58" t="s">
        <v>107</v>
      </c>
      <c r="BV20" s="58" t="s">
        <v>107</v>
      </c>
    </row>
    <row r="22" spans="1:81" s="59" customFormat="1">
      <c r="A22" s="54"/>
      <c r="C22"/>
    </row>
    <row r="26" spans="1:81" s="59" customFormat="1">
      <c r="A26" s="54"/>
      <c r="C26"/>
    </row>
    <row r="27" spans="1:81" s="59" customFormat="1">
      <c r="A27" s="54"/>
      <c r="C27"/>
    </row>
    <row r="29" spans="1:81" s="59" customFormat="1">
      <c r="A29" s="54"/>
      <c r="B29" s="54"/>
      <c r="C29"/>
      <c r="D29" s="54"/>
      <c r="E29" s="54"/>
      <c r="F29" s="54"/>
      <c r="G29" s="54"/>
      <c r="H29" s="54"/>
      <c r="I29" s="54"/>
      <c r="J29" s="54"/>
      <c r="K29" s="54"/>
      <c r="L29" s="54"/>
      <c r="M29" s="54"/>
      <c r="N29" s="54"/>
      <c r="O29" s="54"/>
      <c r="P29" s="54"/>
      <c r="Q29" s="54"/>
      <c r="AI29" s="54"/>
      <c r="AJ29" s="54"/>
      <c r="AK29" s="54"/>
      <c r="AL29" s="54"/>
      <c r="AM29" s="54"/>
      <c r="CC29" s="54"/>
    </row>
    <row r="30" spans="1:81" s="59" customFormat="1">
      <c r="A30" s="54"/>
      <c r="B30" s="54"/>
      <c r="C30"/>
      <c r="D30" s="54"/>
      <c r="E30" s="54"/>
      <c r="F30" s="54"/>
      <c r="G30" s="54"/>
      <c r="H30" s="54"/>
      <c r="I30" s="54"/>
      <c r="J30" s="54"/>
      <c r="K30" s="54"/>
      <c r="L30" s="54"/>
      <c r="M30" s="54"/>
      <c r="CC30" s="54"/>
    </row>
    <row r="31" spans="1:81" s="59" customFormat="1">
      <c r="A31" s="54"/>
      <c r="B31" s="54"/>
      <c r="C31"/>
      <c r="D31" s="54"/>
      <c r="E31" s="54"/>
      <c r="F31" s="54"/>
      <c r="G31" s="54"/>
      <c r="H31" s="54"/>
      <c r="I31" s="54"/>
      <c r="J31" s="54"/>
      <c r="K31" s="54"/>
      <c r="L31" s="54"/>
      <c r="M31" s="54"/>
      <c r="CC31" s="54"/>
    </row>
  </sheetData>
  <mergeCells count="65">
    <mergeCell ref="AQ2:AS2"/>
    <mergeCell ref="AK3:AN3"/>
    <mergeCell ref="AK2:AO2"/>
    <mergeCell ref="BT4:BT5"/>
    <mergeCell ref="AU3:AU5"/>
    <mergeCell ref="BN2:BV2"/>
    <mergeCell ref="AU2:BL2"/>
    <mergeCell ref="AL4:AL5"/>
    <mergeCell ref="BF4:BH4"/>
    <mergeCell ref="BD4:BD5"/>
    <mergeCell ref="Q4:S4"/>
    <mergeCell ref="T4:T5"/>
    <mergeCell ref="BU4:BU5"/>
    <mergeCell ref="BV4:BV5"/>
    <mergeCell ref="BT3:BV3"/>
    <mergeCell ref="BR3:BR5"/>
    <mergeCell ref="BS3:BS5"/>
    <mergeCell ref="BE4:BE5"/>
    <mergeCell ref="BI4:BI5"/>
    <mergeCell ref="BJ4:BJ5"/>
    <mergeCell ref="B2:B5"/>
    <mergeCell ref="AK4:AK5"/>
    <mergeCell ref="AM4:AM5"/>
    <mergeCell ref="E3:E5"/>
    <mergeCell ref="G3:G5"/>
    <mergeCell ref="F3:F5"/>
    <mergeCell ref="H3:H5"/>
    <mergeCell ref="I3:I5"/>
    <mergeCell ref="J3:J5"/>
    <mergeCell ref="AF4:AH4"/>
    <mergeCell ref="AI4:AI5"/>
    <mergeCell ref="V4:X4"/>
    <mergeCell ref="Y4:Y5"/>
    <mergeCell ref="AA4:AC4"/>
    <mergeCell ref="AD4:AD5"/>
    <mergeCell ref="L4:N4"/>
    <mergeCell ref="Q3:T3"/>
    <mergeCell ref="L3:O3"/>
    <mergeCell ref="BK4:BK5"/>
    <mergeCell ref="AN4:AN5"/>
    <mergeCell ref="AO3:AO5"/>
    <mergeCell ref="AQ3:AQ5"/>
    <mergeCell ref="AR3:AR5"/>
    <mergeCell ref="AS3:AS5"/>
    <mergeCell ref="BA4:BA5"/>
    <mergeCell ref="AZ4:AZ5"/>
    <mergeCell ref="AW3:AW5"/>
    <mergeCell ref="AV3:AV5"/>
    <mergeCell ref="AX3:AX5"/>
    <mergeCell ref="O4:O5"/>
    <mergeCell ref="BB4:BB5"/>
    <mergeCell ref="BC4:BC5"/>
    <mergeCell ref="BL4:BL5"/>
    <mergeCell ref="D3:D5"/>
    <mergeCell ref="D2:J2"/>
    <mergeCell ref="AZ3:BL3"/>
    <mergeCell ref="L2:AI2"/>
    <mergeCell ref="BQ3:BQ5"/>
    <mergeCell ref="BP3:BP5"/>
    <mergeCell ref="BO3:BO5"/>
    <mergeCell ref="BN3:BN5"/>
    <mergeCell ref="AY3:AY5"/>
    <mergeCell ref="V3:Y3"/>
    <mergeCell ref="AA3:AD3"/>
    <mergeCell ref="AF3:AI3"/>
  </mergeCells>
  <conditionalFormatting sqref="V12:X12 Y14:Y15 D14:J15 D12:J12 L12:O12 D7:J10 AA7:AD10 BN7:BV10 AU17:AU20 D17:J20 AK12:AO12 AK14:AO15 AK17:AO20 BN12:BV15 BN17:BV20 AK7:AO10 L14:N15">
    <cfRule type="endsWith" dxfId="101" priority="300" operator="endsWith" text="no">
      <formula>RIGHT(D7,LEN("no"))="no"</formula>
    </cfRule>
  </conditionalFormatting>
  <conditionalFormatting sqref="D14:J15 D12:J12 L12:O12 Y14:Y15 V12:Y12 D7:J10 AA7:AD10 BN7:BV10 AU17:AU20 D17:J20 AK12:AO12 AK14:AO15 AK17:AO20 BN12:BV15 BN17:BV20 AK7:AO10 L14:N15">
    <cfRule type="expression" dxfId="100" priority="299">
      <formula>TRIM(LOWER(D7))&lt;&gt;"no"</formula>
    </cfRule>
  </conditionalFormatting>
  <conditionalFormatting sqref="Q14:T15 Q12:T12 AA14:AD15 AA12:AD12 AQ14:AS15 AQ12:AS12 AV12:BL12 AF12:AI12 L7:O10 L17:O20 Q17:T20 V17:Y20 AA17:AD20 AF17:AI20 AQ17:AS20 AV17:BL20 AV14:BL15 AF14:AI15 AF13:AG13 AI13">
    <cfRule type="expression" dxfId="99" priority="221">
      <formula>TRIM(LOWER(L7))&lt;&gt;"no"</formula>
    </cfRule>
    <cfRule type="endsWith" dxfId="98" priority="222" operator="endsWith" text="no">
      <formula>RIGHT(L7,LEN("no"))="no"</formula>
    </cfRule>
  </conditionalFormatting>
  <conditionalFormatting sqref="Q7:T10">
    <cfRule type="expression" dxfId="97" priority="159">
      <formula>TRIM(LOWER(Q7))&lt;&gt;"no"</formula>
    </cfRule>
    <cfRule type="endsWith" dxfId="96" priority="160" operator="endsWith" text="no">
      <formula>RIGHT(Q7,LEN("no"))="no"</formula>
    </cfRule>
  </conditionalFormatting>
  <conditionalFormatting sqref="R17">
    <cfRule type="expression" dxfId="95" priority="203">
      <formula>TRIM(LOWER(R17))&lt;&gt;"no"</formula>
    </cfRule>
    <cfRule type="endsWith" dxfId="94" priority="204" operator="endsWith" text="no">
      <formula>RIGHT(R17,LEN("no"))="no"</formula>
    </cfRule>
  </conditionalFormatting>
  <conditionalFormatting sqref="V15:X15">
    <cfRule type="expression" dxfId="93" priority="135">
      <formula>TRIM(LOWER(V15))&lt;&gt;"no"</formula>
    </cfRule>
    <cfRule type="endsWith" dxfId="92" priority="136" operator="endsWith" text="no">
      <formula>RIGHT(V15,LEN("no"))="no"</formula>
    </cfRule>
  </conditionalFormatting>
  <conditionalFormatting sqref="V7:Y10">
    <cfRule type="expression" dxfId="91" priority="161">
      <formula>TRIM(LOWER(V7))&lt;&gt;"no"</formula>
    </cfRule>
    <cfRule type="endsWith" dxfId="90" priority="162" operator="endsWith" text="no">
      <formula>RIGHT(V7,LEN("no"))="no"</formula>
    </cfRule>
  </conditionalFormatting>
  <conditionalFormatting sqref="V14:Y14">
    <cfRule type="expression" dxfId="89" priority="171">
      <formula>TRIM(LOWER(V14))&lt;&gt;"no"</formula>
    </cfRule>
    <cfRule type="endsWith" dxfId="88" priority="174" operator="endsWith" text="no">
      <formula>RIGHT(V14,LEN("no"))="no"</formula>
    </cfRule>
  </conditionalFormatting>
  <conditionalFormatting sqref="Y12:Y13">
    <cfRule type="endsWith" dxfId="87" priority="128" operator="endsWith" text="no">
      <formula>RIGHT(Y12,LEN("no"))="no"</formula>
    </cfRule>
  </conditionalFormatting>
  <conditionalFormatting sqref="AF7:AI10">
    <cfRule type="expression" dxfId="86" priority="99">
      <formula>TRIM(LOWER(AF7))&lt;&gt;"no"</formula>
    </cfRule>
    <cfRule type="endsWith" dxfId="85" priority="100" operator="endsWith" text="no">
      <formula>RIGHT(AF7,LEN("no"))="no"</formula>
    </cfRule>
  </conditionalFormatting>
  <conditionalFormatting sqref="AQ14:AS15 AQ12:AS12 D14:J15 D12:J12 L12:O12 Q14:T15 Q12:T12 V14:Y15 V12:Y12 AA14:AD15 AA12:AD12 AF12:AI12 D7:J10 V7:Y10 AA7:AD10 BN7:BV10 D17:J20 L17:O20 Q17:T20 V17:Y20 AA17:AD20 AF17:AI20 AK12:AO12 AK14:AO15 AK17:AO20 AQ17:AS20 BN12:BV15 BN17:BV20 AK7:AO10 L14:N15 AU7:BL10 AU12:BL12 AU17:BL20 AU14:BL15 AF14:AI15 AF13:AG13 AI13 Q7:T10 L7:O10 AQ7:AS10 AF7:AI10">
    <cfRule type="containsBlanks" dxfId="2" priority="51">
      <formula>LEN(TRIM(D7))=0</formula>
    </cfRule>
  </conditionalFormatting>
  <conditionalFormatting sqref="AQ7:AS10">
    <cfRule type="expression" dxfId="1" priority="101">
      <formula>TRIM(LOWER(AQ7))&lt;&gt;"no"</formula>
    </cfRule>
    <cfRule type="endsWith" dxfId="0" priority="102" operator="endsWith" text="no">
      <formula>RIGHT(AQ7,LEN("no"))="no"</formula>
    </cfRule>
  </conditionalFormatting>
  <conditionalFormatting sqref="AR7">
    <cfRule type="expression" dxfId="84" priority="87">
      <formula>TRIM(LOWER(AR7))&lt;&gt;"no"</formula>
    </cfRule>
    <cfRule type="endsWith" dxfId="83" priority="88" operator="endsWith" text="no">
      <formula>RIGHT(AR7,LEN("no"))="no"</formula>
    </cfRule>
  </conditionalFormatting>
  <conditionalFormatting sqref="AR14">
    <cfRule type="expression" dxfId="82" priority="85">
      <formula>TRIM(LOWER(AR14))&lt;&gt;"no"</formula>
    </cfRule>
    <cfRule type="endsWith" dxfId="81" priority="86" operator="endsWith" text="no">
      <formula>RIGHT(AR14,LEN("no"))="no"</formula>
    </cfRule>
  </conditionalFormatting>
  <conditionalFormatting sqref="AV7:BL10">
    <cfRule type="expression" dxfId="80" priority="97">
      <formula>TRIM(LOWER(AV7))&lt;&gt;"no"</formula>
    </cfRule>
    <cfRule type="endsWith" dxfId="79" priority="98" operator="endsWith" text="no">
      <formula>RIGHT(AV7,LEN("no"))="no"</formula>
    </cfRule>
  </conditionalFormatting>
  <conditionalFormatting sqref="AY8:AY10">
    <cfRule type="expression" dxfId="78" priority="93">
      <formula>TRIM(LOWER(AY8))&lt;&gt;"no"</formula>
    </cfRule>
    <cfRule type="endsWith" dxfId="77" priority="94" operator="endsWith" text="no">
      <formula>RIGHT(AY8,LEN("no"))="no"</formula>
    </cfRule>
  </conditionalFormatting>
  <conditionalFormatting sqref="V13:X13 D13:J13 L13:O13 AK13 AM13:AO13">
    <cfRule type="endsWith" dxfId="76" priority="84" operator="endsWith" text="no">
      <formula>RIGHT(D13,LEN("no"))="no"</formula>
    </cfRule>
  </conditionalFormatting>
  <conditionalFormatting sqref="D13:J13 L13:O13 AK13 V13:Y13 AM13:AO13">
    <cfRule type="expression" dxfId="75" priority="83">
      <formula>TRIM(LOWER(D13))&lt;&gt;"no"</formula>
    </cfRule>
  </conditionalFormatting>
  <conditionalFormatting sqref="Q13:T13 AA13:AB13 AQ13:AS13 AU13:BE13 BI13:BL13">
    <cfRule type="expression" dxfId="74" priority="81">
      <formula>TRIM(LOWER(Q13))&lt;&gt;"no"</formula>
    </cfRule>
    <cfRule type="endsWith" dxfId="73" priority="82" operator="endsWith" text="no">
      <formula>RIGHT(Q13,LEN("no"))="no"</formula>
    </cfRule>
  </conditionalFormatting>
  <conditionalFormatting sqref="AQ13:AS13 D13:J13 L13:O13 Q13:T13 V13:Y13 AA13:AB13 AK13 AM13:AO13 AU13:BE13 BI13:BL13">
    <cfRule type="containsBlanks" dxfId="72" priority="76">
      <formula>LEN(TRIM(D13))=0</formula>
    </cfRule>
  </conditionalFormatting>
  <conditionalFormatting sqref="AU14:AU15 AU12 AU8:AU10">
    <cfRule type="endsWith" dxfId="71" priority="80" operator="endsWith" text="no">
      <formula>RIGHT(AU8,LEN("no"))="no"</formula>
    </cfRule>
  </conditionalFormatting>
  <conditionalFormatting sqref="AU14:AU15 AU12 AU8:AU10">
    <cfRule type="expression" dxfId="70" priority="79">
      <formula>TRIM(LOWER(AU8))&lt;&gt;"no"</formula>
    </cfRule>
  </conditionalFormatting>
  <conditionalFormatting sqref="AU13">
    <cfRule type="endsWith" dxfId="69" priority="78" operator="endsWith" text="no">
      <formula>RIGHT(AU13,LEN("no"))="no"</formula>
    </cfRule>
  </conditionalFormatting>
  <conditionalFormatting sqref="AU13">
    <cfRule type="expression" dxfId="68" priority="77">
      <formula>TRIM(LOWER(AU13))&lt;&gt;"no"</formula>
    </cfRule>
  </conditionalFormatting>
  <conditionalFormatting sqref="L20">
    <cfRule type="endsWith" dxfId="67" priority="75" operator="endsWith" text="no">
      <formula>RIGHT(L20,LEN("no"))="no"</formula>
    </cfRule>
  </conditionalFormatting>
  <conditionalFormatting sqref="L20">
    <cfRule type="expression" dxfId="66" priority="74">
      <formula>TRIM(LOWER(L20))&lt;&gt;"no"</formula>
    </cfRule>
  </conditionalFormatting>
  <conditionalFormatting sqref="AL13">
    <cfRule type="endsWith" dxfId="65" priority="73" operator="endsWith" text="no">
      <formula>RIGHT(AL13,LEN("no"))="no"</formula>
    </cfRule>
  </conditionalFormatting>
  <conditionalFormatting sqref="AL13">
    <cfRule type="expression" dxfId="64" priority="72">
      <formula>TRIM(LOWER(AL13))&lt;&gt;"no"</formula>
    </cfRule>
  </conditionalFormatting>
  <conditionalFormatting sqref="AL13">
    <cfRule type="containsBlanks" dxfId="63" priority="71">
      <formula>LEN(TRIM(AL13))=0</formula>
    </cfRule>
  </conditionalFormatting>
  <conditionalFormatting sqref="AU7">
    <cfRule type="expression" dxfId="62" priority="57">
      <formula>TRIM(LOWER(AU7))&lt;&gt;"no"</formula>
    </cfRule>
    <cfRule type="endsWith" dxfId="61" priority="58" operator="endsWith" text="no">
      <formula>RIGHT(AU7,LEN("no"))="no"</formula>
    </cfRule>
  </conditionalFormatting>
  <conditionalFormatting sqref="AU20">
    <cfRule type="expression" dxfId="60" priority="55">
      <formula>TRIM(LOWER(AU20))&lt;&gt;"no"</formula>
    </cfRule>
    <cfRule type="endsWith" dxfId="59" priority="56" operator="endsWith" text="no">
      <formula>RIGHT(AU20,LEN("no"))="no"</formula>
    </cfRule>
  </conditionalFormatting>
  <conditionalFormatting sqref="AW18">
    <cfRule type="endsWith" dxfId="58" priority="90" operator="endsWith" text="no">
      <formula>RIGHT(AW18,LEN("no"))="no"</formula>
    </cfRule>
  </conditionalFormatting>
  <conditionalFormatting sqref="AW18">
    <cfRule type="expression" dxfId="57" priority="54">
      <formula>TRIM(LOWER(AW18))&lt;&gt;"no"</formula>
    </cfRule>
  </conditionalFormatting>
  <conditionalFormatting sqref="AW19">
    <cfRule type="endsWith" dxfId="56" priority="53" operator="endsWith" text="no">
      <formula>RIGHT(AW19,LEN("no"))="no"</formula>
    </cfRule>
  </conditionalFormatting>
  <conditionalFormatting sqref="AW19">
    <cfRule type="expression" dxfId="55" priority="52">
      <formula>TRIM(LOWER(AW19))&lt;&gt;"no"</formula>
    </cfRule>
  </conditionalFormatting>
  <conditionalFormatting sqref="T9">
    <cfRule type="expression" dxfId="54" priority="49">
      <formula>TRIM(LOWER(T9))&lt;&gt;"no"</formula>
    </cfRule>
    <cfRule type="endsWith" dxfId="53" priority="50" operator="endsWith" text="no">
      <formula>RIGHT(T9,LEN("no"))="no"</formula>
    </cfRule>
  </conditionalFormatting>
  <conditionalFormatting sqref="AI9">
    <cfRule type="expression" dxfId="52" priority="47">
      <formula>TRIM(LOWER(AI9))&lt;&gt;"no"</formula>
    </cfRule>
    <cfRule type="endsWith" dxfId="51" priority="48" operator="endsWith" text="no">
      <formula>RIGHT(AI9,LEN("no"))="no"</formula>
    </cfRule>
  </conditionalFormatting>
  <conditionalFormatting sqref="T7">
    <cfRule type="expression" dxfId="50" priority="45">
      <formula>TRIM(LOWER(T7))&lt;&gt;"no"</formula>
    </cfRule>
    <cfRule type="endsWith" dxfId="49" priority="46" operator="endsWith" text="no">
      <formula>RIGHT(T7,LEN("no"))="no"</formula>
    </cfRule>
  </conditionalFormatting>
  <conditionalFormatting sqref="AH7">
    <cfRule type="expression" dxfId="48" priority="43">
      <formula>TRIM(LOWER(AH7))&lt;&gt;"no"</formula>
    </cfRule>
    <cfRule type="endsWith" dxfId="47" priority="44" operator="endsWith" text="no">
      <formula>RIGHT(AH7,LEN("no"))="no"</formula>
    </cfRule>
  </conditionalFormatting>
  <conditionalFormatting sqref="L7:O7">
    <cfRule type="expression" dxfId="46" priority="41">
      <formula>TRIM(LOWER(L7))&lt;&gt;"no"</formula>
    </cfRule>
    <cfRule type="endsWith" dxfId="45" priority="42" operator="endsWith" text="no">
      <formula>RIGHT(L7,LEN("no"))="no"</formula>
    </cfRule>
  </conditionalFormatting>
  <conditionalFormatting sqref="O7">
    <cfRule type="expression" dxfId="44" priority="39">
      <formula>TRIM(LOWER(O7))&lt;&gt;"no"</formula>
    </cfRule>
    <cfRule type="endsWith" dxfId="43" priority="40" operator="endsWith" text="no">
      <formula>RIGHT(O7,LEN("no"))="no"</formula>
    </cfRule>
  </conditionalFormatting>
  <conditionalFormatting sqref="O14">
    <cfRule type="endsWith" dxfId="42" priority="38" operator="endsWith" text="no">
      <formula>RIGHT(O14,LEN("no"))="no"</formula>
    </cfRule>
  </conditionalFormatting>
  <conditionalFormatting sqref="O14">
    <cfRule type="expression" dxfId="41" priority="37">
      <formula>TRIM(LOWER(O14))&lt;&gt;"no"</formula>
    </cfRule>
  </conditionalFormatting>
  <conditionalFormatting sqref="O14">
    <cfRule type="containsBlanks" dxfId="40" priority="36">
      <formula>LEN(TRIM(O14))=0</formula>
    </cfRule>
  </conditionalFormatting>
  <conditionalFormatting sqref="O15">
    <cfRule type="endsWith" dxfId="39" priority="35" operator="endsWith" text="no">
      <formula>RIGHT(O15,LEN("no"))="no"</formula>
    </cfRule>
  </conditionalFormatting>
  <conditionalFormatting sqref="O15">
    <cfRule type="expression" dxfId="38" priority="34">
      <formula>TRIM(LOWER(O15))&lt;&gt;"no"</formula>
    </cfRule>
  </conditionalFormatting>
  <conditionalFormatting sqref="O15">
    <cfRule type="containsBlanks" dxfId="37" priority="33">
      <formula>LEN(TRIM(O15))=0</formula>
    </cfRule>
  </conditionalFormatting>
  <conditionalFormatting sqref="BF18:BH18">
    <cfRule type="expression" dxfId="36" priority="31">
      <formula>TRIM(LOWER(BF18))&lt;&gt;"no"</formula>
    </cfRule>
    <cfRule type="endsWith" dxfId="35" priority="32" operator="endsWith" text="no">
      <formula>RIGHT(BF18,LEN("no"))="no"</formula>
    </cfRule>
  </conditionalFormatting>
  <conditionalFormatting sqref="BF14:BH14">
    <cfRule type="expression" dxfId="34" priority="29">
      <formula>TRIM(LOWER(BF14))&lt;&gt;"no"</formula>
    </cfRule>
    <cfRule type="endsWith" dxfId="33" priority="30" operator="endsWith" text="no">
      <formula>RIGHT(BF14,LEN("no"))="no"</formula>
    </cfRule>
  </conditionalFormatting>
  <conditionalFormatting sqref="BF12:BH12">
    <cfRule type="expression" dxfId="32" priority="27">
      <formula>TRIM(LOWER(BF12))&lt;&gt;"no"</formula>
    </cfRule>
    <cfRule type="endsWith" dxfId="31" priority="28" operator="endsWith" text="no">
      <formula>RIGHT(BF12,LEN("no"))="no"</formula>
    </cfRule>
  </conditionalFormatting>
  <conditionalFormatting sqref="BF20:BH20">
    <cfRule type="expression" dxfId="30" priority="25">
      <formula>TRIM(LOWER(BF20))&lt;&gt;"no"</formula>
    </cfRule>
    <cfRule type="endsWith" dxfId="29" priority="26" operator="endsWith" text="no">
      <formula>RIGHT(BF20,LEN("no"))="no"</formula>
    </cfRule>
  </conditionalFormatting>
  <conditionalFormatting sqref="BF15:BH15">
    <cfRule type="expression" dxfId="28" priority="23">
      <formula>TRIM(LOWER(BF15))&lt;&gt;"no"</formula>
    </cfRule>
    <cfRule type="endsWith" dxfId="27" priority="24" operator="endsWith" text="no">
      <formula>RIGHT(BF15,LEN("no"))="no"</formula>
    </cfRule>
  </conditionalFormatting>
  <conditionalFormatting sqref="AC13">
    <cfRule type="endsWith" dxfId="26" priority="22" operator="endsWith" text="no">
      <formula>RIGHT(AC13,LEN("no"))="no"</formula>
    </cfRule>
  </conditionalFormatting>
  <conditionalFormatting sqref="AC13">
    <cfRule type="expression" dxfId="25" priority="21">
      <formula>TRIM(LOWER(AC13))&lt;&gt;"no"</formula>
    </cfRule>
  </conditionalFormatting>
  <conditionalFormatting sqref="AC13">
    <cfRule type="containsBlanks" dxfId="24" priority="20">
      <formula>LEN(TRIM(AC13))=0</formula>
    </cfRule>
  </conditionalFormatting>
  <conditionalFormatting sqref="AD13">
    <cfRule type="endsWith" dxfId="23" priority="19" operator="endsWith" text="no">
      <formula>RIGHT(AD13,LEN("no"))="no"</formula>
    </cfRule>
  </conditionalFormatting>
  <conditionalFormatting sqref="AD13">
    <cfRule type="expression" dxfId="22" priority="18">
      <formula>TRIM(LOWER(AD13))&lt;&gt;"no"</formula>
    </cfRule>
  </conditionalFormatting>
  <conditionalFormatting sqref="AD13">
    <cfRule type="containsBlanks" dxfId="21" priority="17">
      <formula>LEN(TRIM(AD13))=0</formula>
    </cfRule>
  </conditionalFormatting>
  <conditionalFormatting sqref="AH13">
    <cfRule type="endsWith" dxfId="20" priority="16" operator="endsWith" text="no">
      <formula>RIGHT(AH13,LEN("no"))="no"</formula>
    </cfRule>
  </conditionalFormatting>
  <conditionalFormatting sqref="AH13">
    <cfRule type="expression" dxfId="19" priority="15">
      <formula>TRIM(LOWER(AH13))&lt;&gt;"no"</formula>
    </cfRule>
  </conditionalFormatting>
  <conditionalFormatting sqref="AH13">
    <cfRule type="containsBlanks" dxfId="18" priority="14">
      <formula>LEN(TRIM(AH13))=0</formula>
    </cfRule>
  </conditionalFormatting>
  <conditionalFormatting sqref="BF13:BH13">
    <cfRule type="expression" dxfId="17" priority="12">
      <formula>TRIM(LOWER(BF13))&lt;&gt;"no"</formula>
    </cfRule>
    <cfRule type="endsWith" dxfId="16" priority="13" operator="endsWith" text="no">
      <formula>RIGHT(BF13,LEN("no"))="no"</formula>
    </cfRule>
  </conditionalFormatting>
  <conditionalFormatting sqref="BF13:BH13">
    <cfRule type="containsBlanks" dxfId="15" priority="11">
      <formula>LEN(TRIM(BF13))=0</formula>
    </cfRule>
  </conditionalFormatting>
  <conditionalFormatting sqref="BF13:BH13">
    <cfRule type="expression" dxfId="14" priority="9">
      <formula>TRIM(LOWER(BF13))&lt;&gt;"no"</formula>
    </cfRule>
    <cfRule type="endsWith" dxfId="13" priority="10" operator="endsWith" text="no">
      <formula>RIGHT(BF13,LEN("no"))="no"</formula>
    </cfRule>
  </conditionalFormatting>
  <conditionalFormatting sqref="T9">
    <cfRule type="expression" dxfId="10" priority="7">
      <formula>TRIM(LOWER(T9))&lt;&gt;"no"</formula>
    </cfRule>
    <cfRule type="endsWith" dxfId="9" priority="8" operator="endsWith" text="no">
      <formula>RIGHT(T9,LEN("no"))="no"</formula>
    </cfRule>
  </conditionalFormatting>
  <conditionalFormatting sqref="AI9">
    <cfRule type="expression" dxfId="8" priority="5">
      <formula>TRIM(LOWER(AI9))&lt;&gt;"no"</formula>
    </cfRule>
    <cfRule type="endsWith" dxfId="7" priority="6" operator="endsWith" text="no">
      <formula>RIGHT(AI9,LEN("no"))="no"</formula>
    </cfRule>
  </conditionalFormatting>
  <conditionalFormatting sqref="N10">
    <cfRule type="expression" dxfId="6" priority="3">
      <formula>TRIM(LOWER(N10))&lt;&gt;"no"</formula>
    </cfRule>
    <cfRule type="endsWith" dxfId="5" priority="4" operator="endsWith" text="no">
      <formula>RIGHT(N10,LEN("no"))="no"</formula>
    </cfRule>
  </conditionalFormatting>
  <conditionalFormatting sqref="AQ10">
    <cfRule type="expression" dxfId="4" priority="1">
      <formula>TRIM(LOWER(AQ10))&lt;&gt;"no"</formula>
    </cfRule>
    <cfRule type="endsWith" dxfId="3" priority="2" operator="endsWith" text="no">
      <formula>RIGHT(AQ10,LEN("no"))="no"</formula>
    </cfRule>
  </conditionalFormatting>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07C7-EF41-8E4E-9C7E-5482DFF3D9FB}">
  <sheetPr>
    <pageSetUpPr fitToPage="1"/>
  </sheetPr>
  <dimension ref="C6:BI49"/>
  <sheetViews>
    <sheetView tabSelected="1" zoomScale="16" zoomScaleNormal="16" zoomScalePageLayoutView="14" workbookViewId="0">
      <selection activeCell="BD17" sqref="BD17"/>
    </sheetView>
  </sheetViews>
  <sheetFormatPr baseColWidth="10" defaultRowHeight="15"/>
  <cols>
    <col min="1" max="2" width="10.83203125" style="146"/>
    <col min="3" max="3" width="69.6640625" style="146" customWidth="1"/>
    <col min="4" max="4" width="5.83203125" style="146" customWidth="1"/>
    <col min="5" max="5" width="16.5" style="146" customWidth="1"/>
    <col min="6" max="6" width="17.1640625" style="146" customWidth="1"/>
    <col min="7" max="7" width="25.1640625" style="146" customWidth="1"/>
    <col min="8" max="8" width="29.6640625" style="146" customWidth="1"/>
    <col min="9" max="9" width="22.1640625" style="146" customWidth="1"/>
    <col min="10" max="10" width="19.5" style="146" customWidth="1"/>
    <col min="11" max="11" width="24.1640625" style="146" customWidth="1"/>
    <col min="12" max="12" width="5.83203125" style="146" customWidth="1"/>
    <col min="13" max="13" width="25.6640625" style="146" customWidth="1"/>
    <col min="14" max="14" width="36.1640625" style="146" customWidth="1"/>
    <col min="15" max="15" width="54" style="146" customWidth="1"/>
    <col min="16" max="16" width="41.1640625" style="146" customWidth="1"/>
    <col min="17" max="17" width="5.83203125" style="146" customWidth="1"/>
    <col min="18" max="18" width="20.5" style="146" customWidth="1"/>
    <col min="19" max="19" width="30.83203125" style="146" customWidth="1"/>
    <col min="20" max="20" width="19.5" style="146" customWidth="1"/>
    <col min="21" max="21" width="43.33203125" style="146" customWidth="1"/>
    <col min="22" max="22" width="5.83203125" style="146" customWidth="1"/>
    <col min="23" max="23" width="22.6640625" style="146" customWidth="1"/>
    <col min="24" max="24" width="34.83203125" style="146" bestFit="1" customWidth="1"/>
    <col min="25" max="25" width="19.5" style="146" customWidth="1"/>
    <col min="26" max="26" width="46.5" style="146" customWidth="1"/>
    <col min="27" max="27" width="5.83203125" style="146" customWidth="1"/>
    <col min="28" max="28" width="20.83203125" style="146" customWidth="1"/>
    <col min="29" max="29" width="28.5" style="146" customWidth="1"/>
    <col min="30" max="30" width="20.83203125" style="146" customWidth="1"/>
    <col min="31" max="31" width="41.1640625" style="146" customWidth="1"/>
    <col min="32" max="32" width="5.83203125" style="146" customWidth="1"/>
    <col min="33" max="33" width="23.33203125" style="146" customWidth="1"/>
    <col min="34" max="34" width="28" style="146" customWidth="1"/>
    <col min="35" max="35" width="42.1640625" style="146" customWidth="1"/>
    <col min="36" max="36" width="50" style="146" customWidth="1"/>
    <col min="37" max="37" width="5.83203125" customWidth="1"/>
    <col min="38" max="38" width="24" style="146" customWidth="1"/>
    <col min="39" max="39" width="27" style="146" customWidth="1"/>
    <col min="40" max="40" width="56" style="146" customWidth="1"/>
    <col min="41" max="41" width="26.1640625" style="146" bestFit="1" customWidth="1"/>
    <col min="42" max="42" width="33.33203125" style="146" customWidth="1"/>
    <col min="43" max="43" width="5.83203125" customWidth="1"/>
    <col min="44" max="44" width="45" style="146" customWidth="1"/>
    <col min="45" max="45" width="57.83203125" style="146" customWidth="1"/>
    <col min="46" max="46" width="35.1640625" style="146" customWidth="1"/>
    <col min="47" max="16384" width="10.83203125" style="146"/>
  </cols>
  <sheetData>
    <row r="6" spans="3:61" ht="47">
      <c r="C6" s="151" t="s">
        <v>20</v>
      </c>
      <c r="D6" s="189"/>
      <c r="E6" s="154" t="s">
        <v>3</v>
      </c>
      <c r="F6" s="155"/>
      <c r="G6" s="155"/>
      <c r="H6" s="155"/>
      <c r="I6" s="155"/>
      <c r="J6" s="155"/>
      <c r="K6" s="156"/>
      <c r="L6" s="145"/>
      <c r="M6" s="157" t="s">
        <v>260</v>
      </c>
      <c r="N6" s="158"/>
      <c r="O6" s="158"/>
      <c r="P6" s="158"/>
      <c r="Q6" s="158"/>
      <c r="R6" s="158"/>
      <c r="S6" s="158"/>
      <c r="T6" s="158"/>
      <c r="U6" s="158"/>
      <c r="V6" s="158"/>
      <c r="W6" s="158"/>
      <c r="X6" s="158"/>
      <c r="Y6" s="158"/>
      <c r="Z6" s="158"/>
      <c r="AA6" s="158"/>
      <c r="AB6" s="158"/>
      <c r="AC6" s="158"/>
      <c r="AD6" s="158"/>
      <c r="AE6" s="158"/>
      <c r="AF6" s="158"/>
      <c r="AG6" s="158"/>
      <c r="AH6" s="158"/>
      <c r="AI6" s="158"/>
      <c r="AJ6" s="158"/>
      <c r="AL6" s="159" t="s">
        <v>321</v>
      </c>
      <c r="AM6" s="160"/>
      <c r="AN6" s="160"/>
      <c r="AO6" s="160"/>
      <c r="AP6" s="161"/>
      <c r="AR6" s="162" t="s">
        <v>278</v>
      </c>
      <c r="AS6" s="163"/>
      <c r="AT6" s="164"/>
    </row>
    <row r="7" spans="3:61" ht="47">
      <c r="C7" s="152"/>
      <c r="D7" s="189"/>
      <c r="E7" s="166" t="s">
        <v>294</v>
      </c>
      <c r="F7" s="166" t="s">
        <v>261</v>
      </c>
      <c r="G7" s="166" t="s">
        <v>262</v>
      </c>
      <c r="H7" s="166" t="s">
        <v>293</v>
      </c>
      <c r="I7" s="166" t="s">
        <v>263</v>
      </c>
      <c r="J7" s="166" t="s">
        <v>264</v>
      </c>
      <c r="K7" s="166" t="s">
        <v>352</v>
      </c>
      <c r="L7" s="145"/>
      <c r="M7" s="169" t="s">
        <v>56</v>
      </c>
      <c r="N7" s="170"/>
      <c r="O7" s="170"/>
      <c r="P7" s="171"/>
      <c r="Q7" s="147"/>
      <c r="R7" s="169" t="s">
        <v>57</v>
      </c>
      <c r="S7" s="170"/>
      <c r="T7" s="170"/>
      <c r="U7" s="171"/>
      <c r="V7" s="147"/>
      <c r="W7" s="169" t="s">
        <v>58</v>
      </c>
      <c r="X7" s="170"/>
      <c r="Y7" s="170"/>
      <c r="Z7" s="171"/>
      <c r="AA7" s="147"/>
      <c r="AB7" s="169" t="s">
        <v>281</v>
      </c>
      <c r="AC7" s="170"/>
      <c r="AD7" s="170"/>
      <c r="AE7" s="171"/>
      <c r="AF7" s="147"/>
      <c r="AG7" s="169" t="s">
        <v>131</v>
      </c>
      <c r="AH7" s="170"/>
      <c r="AI7" s="170"/>
      <c r="AJ7" s="171"/>
      <c r="AL7" s="172" t="s">
        <v>328</v>
      </c>
      <c r="AM7" s="173"/>
      <c r="AN7" s="173"/>
      <c r="AO7" s="174"/>
      <c r="AP7" s="176" t="s">
        <v>351</v>
      </c>
      <c r="AR7" s="179" t="s">
        <v>279</v>
      </c>
      <c r="AS7" s="179" t="s">
        <v>300</v>
      </c>
      <c r="AT7" s="179" t="s">
        <v>280</v>
      </c>
    </row>
    <row r="8" spans="3:61" ht="47" customHeight="1">
      <c r="C8" s="152"/>
      <c r="D8" s="189"/>
      <c r="E8" s="165"/>
      <c r="F8" s="165"/>
      <c r="G8" s="165"/>
      <c r="H8" s="165"/>
      <c r="I8" s="165"/>
      <c r="J8" s="165"/>
      <c r="K8" s="165"/>
      <c r="L8" s="145"/>
      <c r="M8" s="181" t="s">
        <v>320</v>
      </c>
      <c r="N8" s="182"/>
      <c r="O8" s="183"/>
      <c r="P8" s="184" t="s">
        <v>319</v>
      </c>
      <c r="Q8" s="147"/>
      <c r="R8" s="181" t="s">
        <v>320</v>
      </c>
      <c r="S8" s="182"/>
      <c r="T8" s="183"/>
      <c r="U8" s="184" t="s">
        <v>319</v>
      </c>
      <c r="V8" s="147"/>
      <c r="W8" s="181" t="s">
        <v>320</v>
      </c>
      <c r="X8" s="182"/>
      <c r="Y8" s="183"/>
      <c r="Z8" s="184" t="s">
        <v>319</v>
      </c>
      <c r="AA8" s="147"/>
      <c r="AB8" s="181" t="s">
        <v>320</v>
      </c>
      <c r="AC8" s="182"/>
      <c r="AD8" s="183"/>
      <c r="AE8" s="184" t="s">
        <v>319</v>
      </c>
      <c r="AF8" s="147"/>
      <c r="AG8" s="181" t="s">
        <v>320</v>
      </c>
      <c r="AH8" s="182"/>
      <c r="AI8" s="183"/>
      <c r="AJ8" s="184" t="s">
        <v>319</v>
      </c>
      <c r="AL8" s="186" t="s">
        <v>322</v>
      </c>
      <c r="AM8" s="186" t="s">
        <v>323</v>
      </c>
      <c r="AN8" s="186" t="s">
        <v>268</v>
      </c>
      <c r="AO8" s="186" t="s">
        <v>332</v>
      </c>
      <c r="AP8" s="175"/>
      <c r="AR8" s="178"/>
      <c r="AS8" s="178"/>
      <c r="AT8" s="178"/>
    </row>
    <row r="9" spans="3:61" ht="199" customHeight="1">
      <c r="C9" s="153"/>
      <c r="D9" s="189"/>
      <c r="E9" s="167"/>
      <c r="F9" s="168"/>
      <c r="G9" s="168"/>
      <c r="H9" s="168"/>
      <c r="I9" s="168"/>
      <c r="J9" s="168"/>
      <c r="K9" s="168"/>
      <c r="L9" s="148"/>
      <c r="M9" s="149" t="s">
        <v>88</v>
      </c>
      <c r="N9" s="150" t="s">
        <v>89</v>
      </c>
      <c r="O9" s="150" t="s">
        <v>90</v>
      </c>
      <c r="P9" s="185"/>
      <c r="Q9" s="147"/>
      <c r="R9" s="149" t="s">
        <v>88</v>
      </c>
      <c r="S9" s="150" t="s">
        <v>89</v>
      </c>
      <c r="T9" s="150" t="s">
        <v>90</v>
      </c>
      <c r="U9" s="185"/>
      <c r="V9" s="147"/>
      <c r="W9" s="149" t="s">
        <v>88</v>
      </c>
      <c r="X9" s="150" t="s">
        <v>89</v>
      </c>
      <c r="Y9" s="150" t="s">
        <v>90</v>
      </c>
      <c r="Z9" s="185"/>
      <c r="AA9" s="147"/>
      <c r="AB9" s="149" t="s">
        <v>88</v>
      </c>
      <c r="AC9" s="150" t="s">
        <v>89</v>
      </c>
      <c r="AD9" s="150" t="s">
        <v>90</v>
      </c>
      <c r="AE9" s="185"/>
      <c r="AF9" s="147"/>
      <c r="AG9" s="149" t="s">
        <v>88</v>
      </c>
      <c r="AH9" s="150" t="s">
        <v>89</v>
      </c>
      <c r="AI9" s="150" t="s">
        <v>90</v>
      </c>
      <c r="AJ9" s="185"/>
      <c r="AL9" s="187"/>
      <c r="AM9" s="188"/>
      <c r="AN9" s="187"/>
      <c r="AO9" s="187"/>
      <c r="AP9" s="177"/>
      <c r="AR9" s="180"/>
      <c r="AS9" s="180"/>
      <c r="AT9" s="180"/>
      <c r="BI9" s="190"/>
    </row>
    <row r="10" spans="3:61" ht="30" customHeight="1">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c r="AG10" s="189"/>
      <c r="AH10" s="189"/>
      <c r="AI10" s="189"/>
      <c r="AJ10" s="189"/>
      <c r="AL10" s="189"/>
      <c r="AM10" s="189"/>
      <c r="AN10" s="189"/>
      <c r="AO10" s="189"/>
      <c r="AP10" s="189"/>
      <c r="AR10" s="189"/>
      <c r="AS10" s="189"/>
      <c r="AT10" s="189"/>
    </row>
    <row r="11" spans="3:61" ht="195" customHeight="1">
      <c r="C11" s="193" t="s">
        <v>32</v>
      </c>
      <c r="D11" s="189"/>
      <c r="E11" s="191" t="str">
        <f>Taxonomy!D7</f>
        <v>✗</v>
      </c>
      <c r="F11" s="191" t="str">
        <f>Taxonomy!E7</f>
        <v>✗</v>
      </c>
      <c r="G11" s="191" t="str">
        <f>Taxonomy!F7</f>
        <v>✗</v>
      </c>
      <c r="H11" s="191" t="str">
        <f>Taxonomy!G7</f>
        <v>✗</v>
      </c>
      <c r="I11" s="191" t="str">
        <f>Taxonomy!H7</f>
        <v>✗</v>
      </c>
      <c r="J11" s="191" t="str">
        <f>Taxonomy!I7</f>
        <v>no</v>
      </c>
      <c r="K11" s="191" t="str">
        <f>Taxonomy!J7</f>
        <v>no</v>
      </c>
      <c r="L11"/>
      <c r="M11" s="191" t="str">
        <f>Taxonomy!L7</f>
        <v>no</v>
      </c>
      <c r="N11" s="191" t="str">
        <f>Taxonomy!M7</f>
        <v>no</v>
      </c>
      <c r="O11" s="191" t="str">
        <f>Taxonomy!N7</f>
        <v>no</v>
      </c>
      <c r="P11" s="191" t="str">
        <f>Taxonomy!O7</f>
        <v>no</v>
      </c>
      <c r="Q11"/>
      <c r="R11" s="191" t="str">
        <f>Taxonomy!Q7</f>
        <v>no</v>
      </c>
      <c r="S11" s="191" t="str">
        <f>Taxonomy!R7</f>
        <v>no</v>
      </c>
      <c r="T11" s="191" t="str">
        <f>Taxonomy!S7</f>
        <v>no</v>
      </c>
      <c r="U11" s="191" t="str">
        <f>Taxonomy!T7</f>
        <v>no</v>
      </c>
      <c r="V11"/>
      <c r="W11" s="191" t="str">
        <f>Taxonomy!V7</f>
        <v>no</v>
      </c>
      <c r="X11" s="191" t="str">
        <f>Taxonomy!W7</f>
        <v>no</v>
      </c>
      <c r="Y11" s="191" t="str">
        <f>Taxonomy!X7</f>
        <v>no</v>
      </c>
      <c r="Z11" s="191" t="str">
        <f>Taxonomy!Y7</f>
        <v>no</v>
      </c>
      <c r="AA11"/>
      <c r="AB11" s="191" t="str">
        <f>Taxonomy!AA7</f>
        <v>no</v>
      </c>
      <c r="AC11" s="191" t="str">
        <f>Taxonomy!AB7</f>
        <v>no</v>
      </c>
      <c r="AD11" s="191" t="str">
        <f>Taxonomy!AC7</f>
        <v>no</v>
      </c>
      <c r="AE11" s="191" t="str">
        <f>Taxonomy!AD7</f>
        <v>no</v>
      </c>
      <c r="AF11"/>
      <c r="AG11" s="191" t="str">
        <f>Taxonomy!AF7</f>
        <v>no</v>
      </c>
      <c r="AH11" s="191" t="str">
        <f>Taxonomy!AG7</f>
        <v>✗(RAPL)</v>
      </c>
      <c r="AI11" s="191" t="str">
        <f>Taxonomy!AH7</f>
        <v>no</v>
      </c>
      <c r="AJ11" s="191" t="str">
        <f>Taxonomy!AI7</f>
        <v>OS-provided PID CPU %</v>
      </c>
      <c r="AL11" s="191" t="str">
        <f>Taxonomy!AK7</f>
        <v>✗</v>
      </c>
      <c r="AM11" s="191" t="str">
        <f>Taxonomy!AL7</f>
        <v>no</v>
      </c>
      <c r="AN11" s="191" t="str">
        <f>Taxonomy!AM7</f>
        <v>no</v>
      </c>
      <c r="AO11" s="191" t="str">
        <f>Taxonomy!AN7</f>
        <v>no</v>
      </c>
      <c r="AP11" s="191" t="str">
        <f>Taxonomy!AO7</f>
        <v>no</v>
      </c>
      <c r="AR11" s="191" t="str">
        <f>Taxonomy!AQ7</f>
        <v>no</v>
      </c>
      <c r="AS11" s="191" t="str">
        <f>Taxonomy!AR7</f>
        <v>✗</v>
      </c>
      <c r="AT11" s="191" t="str">
        <f>Taxonomy!AS7</f>
        <v>no</v>
      </c>
    </row>
    <row r="12" spans="3:61" ht="409.5" customHeight="1">
      <c r="C12" s="194" t="s">
        <v>326</v>
      </c>
      <c r="D12" s="189"/>
      <c r="E12" s="191" t="str">
        <f>Taxonomy!D8</f>
        <v>✗</v>
      </c>
      <c r="F12" s="191" t="str">
        <f>Taxonomy!E8</f>
        <v>✗</v>
      </c>
      <c r="G12" s="191" t="str">
        <f>Taxonomy!F8</f>
        <v>✗</v>
      </c>
      <c r="H12" s="191" t="str">
        <f>Taxonomy!G8</f>
        <v>✗</v>
      </c>
      <c r="I12" s="191" t="str">
        <f>Taxonomy!H8</f>
        <v>✗</v>
      </c>
      <c r="J12" s="191" t="str">
        <f>Taxonomy!I8</f>
        <v>no</v>
      </c>
      <c r="K12" s="191" t="str">
        <f>Taxonomy!J8</f>
        <v>no</v>
      </c>
      <c r="L12"/>
      <c r="M12" s="191" t="str">
        <f>Taxonomy!L8</f>
        <v>no</v>
      </c>
      <c r="N12" s="191" t="str">
        <f>Taxonomy!M8</f>
        <v>✗ (RAPL)</v>
      </c>
      <c r="O12" s="191" t="str">
        <f>Taxonomy!N8</f>
        <v>✗Regression-based models for VM deployment</v>
      </c>
      <c r="P12" s="191" t="str">
        <f>Taxonomy!O8</f>
        <v>OS-provided PID CPU %
Cgroups Stat</v>
      </c>
      <c r="Q12"/>
      <c r="R12" s="191" t="str">
        <f>Taxonomy!Q8</f>
        <v>no</v>
      </c>
      <c r="S12" s="191" t="str">
        <f>Taxonomy!R8</f>
        <v>✗(RAPL)</v>
      </c>
      <c r="T12" s="191" t="str">
        <f>Taxonomy!S8</f>
        <v>no</v>
      </c>
      <c r="U12" s="191" t="str">
        <f>Taxonomy!T8</f>
        <v>OS-provided PID CPU %
Cgroups Stat</v>
      </c>
      <c r="V12"/>
      <c r="W12" s="191" t="str">
        <f>Taxonomy!V8</f>
        <v>no</v>
      </c>
      <c r="X12" s="191" t="str">
        <f>Taxonomy!W8</f>
        <v>✗(NVLM)</v>
      </c>
      <c r="Y12" s="191" t="str">
        <f>Taxonomy!X8</f>
        <v>no</v>
      </c>
      <c r="Z12" s="191" t="str">
        <f>Taxonomy!Y8</f>
        <v xml:space="preserve">NVLM-provided (i.e. driver) per-process SM utilization </v>
      </c>
      <c r="AA12"/>
      <c r="AB12" s="191" t="str">
        <f>Taxonomy!AA8</f>
        <v>no</v>
      </c>
      <c r="AC12" s="191" t="str">
        <f>Taxonomy!AB8</f>
        <v>no</v>
      </c>
      <c r="AD12" s="191" t="str">
        <f>Taxonomy!AC8</f>
        <v>no</v>
      </c>
      <c r="AE12" s="191" t="str">
        <f>Taxonomy!AD8</f>
        <v>no</v>
      </c>
      <c r="AF12"/>
      <c r="AG12" s="191" t="str">
        <f>Taxonomy!AF8</f>
        <v>✗(IPMI, ACPI)</v>
      </c>
      <c r="AH12" s="191" t="str">
        <f>Taxonomy!AG8</f>
        <v>no</v>
      </c>
      <c r="AI12" s="191" t="str">
        <f>Taxonomy!AH8</f>
        <v>Regression-based model</v>
      </c>
      <c r="AJ12" s="191" t="str">
        <f>Taxonomy!AI8</f>
        <v>OS-provided PID CPU %
Cgroups Stat</v>
      </c>
      <c r="AL12" s="191" t="str">
        <f>Taxonomy!AK8</f>
        <v>✗</v>
      </c>
      <c r="AM12" s="191" t="str">
        <f>Taxonomy!AL8</f>
        <v>no</v>
      </c>
      <c r="AN12" s="191" t="str">
        <f>Taxonomy!AM8</f>
        <v>no</v>
      </c>
      <c r="AO12" s="191" t="str">
        <f>Taxonomy!AN8</f>
        <v>no</v>
      </c>
      <c r="AP12" s="191" t="str">
        <f>Taxonomy!AO8</f>
        <v>Modeled and allocated
proportionnaly to processes size</v>
      </c>
      <c r="AR12" s="191" t="str">
        <f>Taxonomy!AQ8</f>
        <v>Regression model (# CPU and OS-provided Resource Utilisation metrics as input)</v>
      </c>
      <c r="AS12" s="191" t="str">
        <f>Taxonomy!AR8</f>
        <v>no
( (CNCF 2023) mentions a planned "passthrough" mode for VM deployment which expose VM energy in a shared file.</v>
      </c>
      <c r="AT12" s="191" t="str">
        <f>Taxonomy!AS8</f>
        <v>no</v>
      </c>
    </row>
    <row r="13" spans="3:61" ht="409" customHeight="1">
      <c r="C13" s="194" t="s">
        <v>325</v>
      </c>
      <c r="D13" s="189"/>
      <c r="E13" s="191" t="str">
        <f>Taxonomy!D9</f>
        <v>✗</v>
      </c>
      <c r="F13" s="191" t="str">
        <f>Taxonomy!E9</f>
        <v>✗</v>
      </c>
      <c r="G13" s="191" t="str">
        <f>Taxonomy!F9</f>
        <v>✗</v>
      </c>
      <c r="H13" s="191" t="str">
        <f>Taxonomy!G9</f>
        <v>✗</v>
      </c>
      <c r="I13" s="191" t="str">
        <f>Taxonomy!H9</f>
        <v>✗</v>
      </c>
      <c r="J13" s="191" t="str">
        <f>Taxonomy!I9</f>
        <v>no</v>
      </c>
      <c r="K13" s="191" t="str">
        <f>Taxonomy!J9</f>
        <v>no</v>
      </c>
      <c r="L13"/>
      <c r="M13" s="191" t="str">
        <f>Taxonomy!L9</f>
        <v>no</v>
      </c>
      <c r="N13" s="191" t="str">
        <f>Taxonomy!M9</f>
        <v>✗ (RAPL)</v>
      </c>
      <c r="O13" s="191" t="str">
        <f>Taxonomy!N9</f>
        <v>✗Regression-based 
 models for VM deployment</v>
      </c>
      <c r="P13" s="191" t="str">
        <f>Taxonomy!O9</f>
        <v>PID runtime + HPC vector (cycles, instructions, cache misses) through eBPF tracing</v>
      </c>
      <c r="Q13"/>
      <c r="R13" s="191" t="str">
        <f>Taxonomy!Q9</f>
        <v>no</v>
      </c>
      <c r="S13" s="191" t="str">
        <f>Taxonomy!R9</f>
        <v>✗(RAPL)</v>
      </c>
      <c r="T13" s="191" t="str">
        <f>Taxonomy!S9</f>
        <v>no</v>
      </c>
      <c r="U13" s="191" t="str">
        <f>Taxonomy!T9</f>
        <v>PID runtime + HPC vector (cycles, instructions, cache misses) through eBPF tracing</v>
      </c>
      <c r="V13"/>
      <c r="W13" s="191" t="str">
        <f>Taxonomy!V9</f>
        <v>no</v>
      </c>
      <c r="X13" s="191" t="str">
        <f>Taxonomy!W9</f>
        <v>✗(NVLM)</v>
      </c>
      <c r="Y13" s="191" t="str">
        <f>Taxonomy!X9</f>
        <v>no</v>
      </c>
      <c r="Z13" s="191" t="str">
        <f>Taxonomy!Y9</f>
        <v xml:space="preserve">NVLM-provided (i.e. driver) per-process SM utilization </v>
      </c>
      <c r="AA13"/>
      <c r="AB13" s="191" t="str">
        <f>Taxonomy!AA9</f>
        <v>no</v>
      </c>
      <c r="AC13" s="191" t="str">
        <f>Taxonomy!AB9</f>
        <v>no</v>
      </c>
      <c r="AD13" s="191" t="str">
        <f>Taxonomy!AC9</f>
        <v>no</v>
      </c>
      <c r="AE13" s="191" t="str">
        <f>Taxonomy!AD9</f>
        <v>no</v>
      </c>
      <c r="AF13"/>
      <c r="AG13" s="191" t="str">
        <f>Taxonomy!AF9</f>
        <v>✗(IPMI, ACPI)</v>
      </c>
      <c r="AH13" s="191" t="str">
        <f>Taxonomy!AG9</f>
        <v>no</v>
      </c>
      <c r="AI13" s="191" t="str">
        <f>Taxonomy!AH9</f>
        <v>Regression-based 
trained power model</v>
      </c>
      <c r="AJ13" s="191" t="str">
        <f>Taxonomy!AI9</f>
        <v>PID runtime + HPC vector (cycles, instructions, cache misses) through eBPF tracing</v>
      </c>
      <c r="AL13" s="191" t="str">
        <f>Taxonomy!AK9</f>
        <v>no</v>
      </c>
      <c r="AM13" s="191" t="str">
        <f>Taxonomy!AL9</f>
        <v>✗ (from HPC vector  (cycles, instructions, cache misses))</v>
      </c>
      <c r="AN13" s="191" t="str">
        <f>Taxonomy!AM9</f>
        <v>no</v>
      </c>
      <c r="AO13" s="191" t="str">
        <f>Taxonomy!AN9</f>
        <v>no</v>
      </c>
      <c r="AP13" s="191" t="str">
        <f>Taxonomy!AO9</f>
        <v>Modeled and allocated
proportionnaly to processes size</v>
      </c>
      <c r="AR13" s="191" t="str">
        <f>Taxonomy!AQ9</f>
        <v>Regression model (# CPU and OS-provided Resource Utilisation metrics as input)</v>
      </c>
      <c r="AS13" s="191" t="str">
        <f>Taxonomy!AR9</f>
        <v>no
( (CNCF 2023) mentions a planned "passthrough" mode for VM deployment which expose VM energy in a shared file.</v>
      </c>
      <c r="AT13" s="191" t="str">
        <f>Taxonomy!AS9</f>
        <v>no</v>
      </c>
    </row>
    <row r="14" spans="3:61" ht="403" customHeight="1">
      <c r="C14" s="195" t="s">
        <v>27</v>
      </c>
      <c r="D14" s="189"/>
      <c r="E14" s="191" t="str">
        <f>Taxonomy!D10</f>
        <v>no</v>
      </c>
      <c r="F14" s="191" t="str">
        <f>Taxonomy!E10</f>
        <v>no</v>
      </c>
      <c r="G14" s="191" t="str">
        <f>Taxonomy!F10</f>
        <v>✗</v>
      </c>
      <c r="H14" s="191" t="str">
        <f>Taxonomy!G10</f>
        <v>no</v>
      </c>
      <c r="I14" s="191" t="str">
        <f>Taxonomy!H10</f>
        <v>no</v>
      </c>
      <c r="J14" s="191" t="str">
        <f>Taxonomy!I10</f>
        <v>no</v>
      </c>
      <c r="K14" s="191" t="str">
        <f>Taxonomy!J10</f>
        <v>✗(SCI functionnality)</v>
      </c>
      <c r="L14"/>
      <c r="M14" s="191" t="str">
        <f>Taxonomy!L10</f>
        <v>✗(Compatible with certain Metric Providers)</v>
      </c>
      <c r="N14" s="191" t="str">
        <f>Taxonomy!M10</f>
        <v>✗(RAPL)</v>
      </c>
      <c r="O14" s="191" t="str">
        <f>Taxonomy!N10</f>
        <v xml:space="preserve">✗1) XGBoost model (TDP, Machine Specs and CPU%)
2) Analytical Model(TDP, #CPUchips and CPU %) </v>
      </c>
      <c r="P14" s="191" t="str">
        <f>Taxonomy!O10</f>
        <v xml:space="preserve">OS-provided PID CPU %
Cgroups Stat
Code Special Print (Code Section)
</v>
      </c>
      <c r="Q14"/>
      <c r="R14" s="191" t="str">
        <f>Taxonomy!Q10</f>
        <v>no</v>
      </c>
      <c r="S14" s="191" t="str">
        <f>Taxonomy!R10</f>
        <v>✗(RAPL)</v>
      </c>
      <c r="T14" s="191" t="str">
        <f>Taxonomy!S10</f>
        <v>no</v>
      </c>
      <c r="U14" s="191" t="str">
        <f>Taxonomy!T10</f>
        <v xml:space="preserve">OS-provided PID CPU %
Cgroups Stat (Container)
Code Special Print (Code Section)
</v>
      </c>
      <c r="V14"/>
      <c r="W14" s="191" t="str">
        <f>Taxonomy!V10</f>
        <v>no</v>
      </c>
      <c r="X14" s="191" t="str">
        <f>Taxonomy!W10</f>
        <v>✗(NVLM)</v>
      </c>
      <c r="Y14" s="191" t="str">
        <f>Taxonomy!X10</f>
        <v>no</v>
      </c>
      <c r="Z14" s="191" t="str">
        <f>Taxonomy!Y10</f>
        <v xml:space="preserve">OS-provided PID CPU %
Cgroups Stat
Code Special Print (Code Section)
</v>
      </c>
      <c r="AA14"/>
      <c r="AB14" s="191" t="str">
        <f>Taxonomy!AA10</f>
        <v>no</v>
      </c>
      <c r="AC14" s="191" t="str">
        <f>Taxonomy!AB10</f>
        <v>no</v>
      </c>
      <c r="AD14" s="191" t="str">
        <f>Taxonomy!AC10</f>
        <v>no</v>
      </c>
      <c r="AE14" s="191" t="str">
        <f>Taxonomy!AD10</f>
        <v>no</v>
      </c>
      <c r="AF14"/>
      <c r="AG14" s="191" t="str">
        <f>Taxonomy!AF10</f>
        <v>✗</v>
      </c>
      <c r="AH14" s="191" t="str">
        <f>Taxonomy!AG10</f>
        <v>✗(RAPL PSYS Domain)</v>
      </c>
      <c r="AI14" s="191" t="str">
        <f>Taxonomy!AH10</f>
        <v xml:space="preserve">✗1) XGBoost model (TDP, Machine Specs and CPU%)
2) Analytical Model(TDP, #CPUchips and CPU %) </v>
      </c>
      <c r="AJ14" s="191" t="str">
        <f>Taxonomy!AI10</f>
        <v>OS-provided PID CPU %
Cgroups Stat (container)
Code Special Print (Code Section)</v>
      </c>
      <c r="AL14" s="191" t="str">
        <f>Taxonomy!AK10</f>
        <v>✗</v>
      </c>
      <c r="AM14" s="191" t="str">
        <f>Taxonomy!AL10</f>
        <v>no</v>
      </c>
      <c r="AN14" s="191" t="str">
        <f>Taxonomy!AM10</f>
        <v>no</v>
      </c>
      <c r="AO14" s="191" t="str">
        <f>Taxonomy!AN10</f>
        <v>✗(SCI functionnality)</v>
      </c>
      <c r="AP14" s="191" t="str">
        <f>Taxonomy!AO10</f>
        <v>Modeled and 
allocated to container 
according to OS-provided PID CPU %</v>
      </c>
      <c r="AR14" s="191" t="str">
        <f>Taxonomy!AQ10</f>
        <v xml:space="preserve">1) XGBoost model (TDP, Machine Specs and CPU%)
2) Analytical Model(TDP, #CPUchips and CPU %) </v>
      </c>
      <c r="AS14" s="191" t="str">
        <f>Taxonomy!AR10</f>
        <v>no</v>
      </c>
      <c r="AT14" s="191" t="str">
        <f>Taxonomy!AS10</f>
        <v>no</v>
      </c>
    </row>
    <row r="15" spans="3:61" ht="30" customHeight="1">
      <c r="C15" s="145"/>
      <c r="D15" s="189"/>
      <c r="E15"/>
      <c r="F15" s="192"/>
      <c r="G15" s="192"/>
      <c r="H15" s="192"/>
      <c r="I15" s="192"/>
      <c r="J15" s="192"/>
      <c r="K15" s="192"/>
      <c r="L15"/>
      <c r="M15" s="192"/>
      <c r="N15" s="192"/>
      <c r="O15" s="192"/>
      <c r="P15" s="192"/>
      <c r="Q15"/>
      <c r="R15" s="192"/>
      <c r="S15" s="192"/>
      <c r="T15" s="192"/>
      <c r="U15" s="192"/>
      <c r="V15"/>
      <c r="W15" s="192"/>
      <c r="X15" s="192"/>
      <c r="Y15" s="192"/>
      <c r="Z15" s="192"/>
      <c r="AA15"/>
      <c r="AB15" s="192"/>
      <c r="AC15" s="192"/>
      <c r="AD15" s="192"/>
      <c r="AE15" s="192"/>
      <c r="AF15"/>
      <c r="AG15" s="192"/>
      <c r="AH15" s="192"/>
      <c r="AI15" s="192"/>
      <c r="AJ15" s="192"/>
      <c r="AL15" s="192"/>
      <c r="AM15" s="192"/>
      <c r="AN15" s="192"/>
      <c r="AO15" s="192"/>
      <c r="AP15" s="192"/>
      <c r="AR15" s="192"/>
      <c r="AS15" s="192"/>
      <c r="AT15" s="192"/>
    </row>
    <row r="16" spans="3:61" ht="320" customHeight="1">
      <c r="C16" s="193" t="s">
        <v>266</v>
      </c>
      <c r="D16" s="189"/>
      <c r="E16" s="191" t="str">
        <f>Taxonomy!D12</f>
        <v>no</v>
      </c>
      <c r="F16" s="191" t="str">
        <f>Taxonomy!E12</f>
        <v>no</v>
      </c>
      <c r="G16" s="191" t="str">
        <f>Taxonomy!F12</f>
        <v>no</v>
      </c>
      <c r="H16" s="191" t="str">
        <f>Taxonomy!G12</f>
        <v>no</v>
      </c>
      <c r="I16" s="191" t="str">
        <f>Taxonomy!H12</f>
        <v>✗</v>
      </c>
      <c r="J16" s="191" t="str">
        <f>Taxonomy!I12</f>
        <v>no</v>
      </c>
      <c r="K16" s="191" t="str">
        <f>Taxonomy!J12</f>
        <v>no</v>
      </c>
      <c r="L16"/>
      <c r="M16" s="191" t="str">
        <f>Taxonomy!L12</f>
        <v>no</v>
      </c>
      <c r="N16" s="191" t="str">
        <f>Taxonomy!M12</f>
        <v>no</v>
      </c>
      <c r="O16" s="191" t="str">
        <f>Taxonomy!N12</f>
        <v xml:space="preserve">✗ Linear Regression Model (HPC : "instructions", "cache references", "cache misses" </v>
      </c>
      <c r="P16" s="191" t="str">
        <f>Taxonomy!O12</f>
        <v>OS-provided PID CPU %</v>
      </c>
      <c r="Q16"/>
      <c r="R16" s="191" t="str">
        <f>Taxonomy!Q12</f>
        <v>no</v>
      </c>
      <c r="S16" s="191" t="str">
        <f>Taxonomy!R12</f>
        <v>no</v>
      </c>
      <c r="T16" s="191" t="str">
        <f>Taxonomy!S12</f>
        <v>no</v>
      </c>
      <c r="U16" s="191" t="str">
        <f>Taxonomy!T12</f>
        <v>no</v>
      </c>
      <c r="V16"/>
      <c r="W16" s="191" t="str">
        <f>Taxonomy!V12</f>
        <v>no</v>
      </c>
      <c r="X16" s="191" t="str">
        <f>Taxonomy!W12</f>
        <v>no</v>
      </c>
      <c r="Y16" s="191" t="str">
        <f>Taxonomy!X12</f>
        <v>no</v>
      </c>
      <c r="Z16" s="191" t="str">
        <f>Taxonomy!Y12</f>
        <v>no</v>
      </c>
      <c r="AA16"/>
      <c r="AB16" s="191" t="str">
        <f>Taxonomy!AA12</f>
        <v>no</v>
      </c>
      <c r="AC16" s="191" t="str">
        <f>Taxonomy!AB12</f>
        <v>no</v>
      </c>
      <c r="AD16" s="191" t="str">
        <f>Taxonomy!AC12</f>
        <v>✗</v>
      </c>
      <c r="AE16" s="191" t="str">
        <f>Taxonomy!AD12</f>
        <v>OS provided per-process (PID)Network I/O</v>
      </c>
      <c r="AF16"/>
      <c r="AG16" s="191" t="str">
        <f>Taxonomy!AF12</f>
        <v>no</v>
      </c>
      <c r="AH16" s="191" t="str">
        <f>Taxonomy!AG12</f>
        <v>no</v>
      </c>
      <c r="AI16" s="191" t="str">
        <f>Taxonomy!AH12</f>
        <v>✗(TDP)</v>
      </c>
      <c r="AJ16" s="191" t="str">
        <f>Taxonomy!AI12</f>
        <v>OS-provided PID CPU %</v>
      </c>
      <c r="AL16" s="191" t="str">
        <f>Taxonomy!AK12</f>
        <v>✗</v>
      </c>
      <c r="AM16" s="191" t="str">
        <f>Taxonomy!AL12</f>
        <v>no</v>
      </c>
      <c r="AN16" s="191" t="str">
        <f>Taxonomy!AM12</f>
        <v>no</v>
      </c>
      <c r="AO16" s="191" t="str">
        <f>Taxonomy!AN12</f>
        <v>no</v>
      </c>
      <c r="AP16" s="191" t="str">
        <f>Taxonomy!AO12</f>
        <v>no</v>
      </c>
      <c r="AR16" s="191" t="str">
        <f>Taxonomy!AQ12</f>
        <v>no</v>
      </c>
      <c r="AS16" s="191" t="str">
        <f>Taxonomy!AR12</f>
        <v>no</v>
      </c>
      <c r="AT16" s="191" t="str">
        <f>Taxonomy!AS12</f>
        <v>no</v>
      </c>
    </row>
    <row r="17" spans="3:46" ht="263" customHeight="1">
      <c r="C17" s="195" t="s">
        <v>44</v>
      </c>
      <c r="D17" s="189"/>
      <c r="E17" s="191" t="str">
        <f>Taxonomy!D13</f>
        <v>no</v>
      </c>
      <c r="F17" s="191" t="str">
        <f>Taxonomy!E13</f>
        <v>no</v>
      </c>
      <c r="G17" s="191" t="str">
        <f>Taxonomy!F13</f>
        <v>no</v>
      </c>
      <c r="H17" s="191" t="str">
        <f>Taxonomy!G13</f>
        <v>no</v>
      </c>
      <c r="I17" s="191" t="str">
        <f>Taxonomy!H13</f>
        <v>✗</v>
      </c>
      <c r="J17" s="191" t="str">
        <f>Taxonomy!I13</f>
        <v>no</v>
      </c>
      <c r="K17" s="191" t="str">
        <f>Taxonomy!J13</f>
        <v>no</v>
      </c>
      <c r="L17"/>
      <c r="M17" s="191" t="str">
        <f>Taxonomy!L13</f>
        <v>no</v>
      </c>
      <c r="N17" s="191" t="str">
        <f>Taxonomy!M13</f>
        <v>no</v>
      </c>
      <c r="O17" s="191" t="str">
        <f>Taxonomy!N13</f>
        <v>✗HPC vector (cycles, instructions, cache misses)</v>
      </c>
      <c r="P17" s="191" t="str">
        <f>Taxonomy!O13</f>
        <v>OS-provided PID CPU %</v>
      </c>
      <c r="Q17"/>
      <c r="R17" s="191" t="str">
        <f>Taxonomy!Q13</f>
        <v>no</v>
      </c>
      <c r="S17" s="191" t="str">
        <f>Taxonomy!R13</f>
        <v>no</v>
      </c>
      <c r="T17" s="191" t="str">
        <f>Taxonomy!S13</f>
        <v>no</v>
      </c>
      <c r="U17" s="191" t="str">
        <f>Taxonomy!T13</f>
        <v>no</v>
      </c>
      <c r="V17"/>
      <c r="W17" s="191" t="str">
        <f>Taxonomy!V13</f>
        <v>no</v>
      </c>
      <c r="X17" s="191" t="str">
        <f>Taxonomy!W13</f>
        <v>no</v>
      </c>
      <c r="Y17" s="191" t="str">
        <f>Taxonomy!X13</f>
        <v>no</v>
      </c>
      <c r="Z17" s="191" t="str">
        <f>Taxonomy!Y13</f>
        <v>no</v>
      </c>
      <c r="AA17"/>
      <c r="AB17" s="191" t="str">
        <f>Taxonomy!AA13</f>
        <v>no</v>
      </c>
      <c r="AC17" s="191" t="str">
        <f>Taxonomy!AB13</f>
        <v>no</v>
      </c>
      <c r="AD17" s="191" t="str">
        <f>Taxonomy!AC13</f>
        <v>no</v>
      </c>
      <c r="AE17" s="191" t="str">
        <f>Taxonomy!AD13</f>
        <v>no</v>
      </c>
      <c r="AF17"/>
      <c r="AG17" s="191" t="str">
        <f>Taxonomy!AF13</f>
        <v>no</v>
      </c>
      <c r="AH17" s="191" t="str">
        <f>Taxonomy!AG13</f>
        <v>no</v>
      </c>
      <c r="AI17" s="191" t="str">
        <f>Taxonomy!AH13</f>
        <v>✗  HPC     (cycles, instructions, cache misses) vector</v>
      </c>
      <c r="AJ17" s="191" t="str">
        <f>Taxonomy!AI13</f>
        <v>OS-provided PID CPU %</v>
      </c>
      <c r="AL17" s="191" t="str">
        <f>Taxonomy!AK13</f>
        <v>✗</v>
      </c>
      <c r="AM17" s="191" t="str">
        <f>Taxonomy!AL13</f>
        <v>no</v>
      </c>
      <c r="AN17" s="191" t="str">
        <f>Taxonomy!AM13</f>
        <v>no</v>
      </c>
      <c r="AO17" s="191" t="str">
        <f>Taxonomy!AN13</f>
        <v>no</v>
      </c>
      <c r="AP17" s="191" t="str">
        <f>Taxonomy!AO13</f>
        <v>no</v>
      </c>
      <c r="AR17" s="191" t="str">
        <f>Taxonomy!AQ13</f>
        <v>no</v>
      </c>
      <c r="AS17" s="191" t="str">
        <f>Taxonomy!AR13</f>
        <v>no</v>
      </c>
      <c r="AT17" s="191" t="str">
        <f>Taxonomy!AS13</f>
        <v>no</v>
      </c>
    </row>
    <row r="18" spans="3:46" ht="269" customHeight="1">
      <c r="C18" s="195" t="s">
        <v>48</v>
      </c>
      <c r="D18" s="189"/>
      <c r="E18" s="191" t="str">
        <f>Taxonomy!D14</f>
        <v>✗</v>
      </c>
      <c r="F18" s="191" t="str">
        <f>Taxonomy!E14</f>
        <v>no</v>
      </c>
      <c r="G18" s="191" t="str">
        <f>Taxonomy!F14</f>
        <v>no</v>
      </c>
      <c r="H18" s="191" t="str">
        <f>Taxonomy!G14</f>
        <v>✗</v>
      </c>
      <c r="I18" s="191" t="str">
        <f>Taxonomy!H14</f>
        <v>✗</v>
      </c>
      <c r="J18" s="191" t="str">
        <f>Taxonomy!I14</f>
        <v>no</v>
      </c>
      <c r="K18" s="191" t="str">
        <f>Taxonomy!J14</f>
        <v>no</v>
      </c>
      <c r="L18"/>
      <c r="M18" s="191" t="str">
        <f>Taxonomy!L14</f>
        <v>no</v>
      </c>
      <c r="N18" s="191" t="str">
        <f>Taxonomy!M14</f>
        <v>✗ (RAPL throush powercap)</v>
      </c>
      <c r="O18" s="191" t="str">
        <f>Taxonomy!N14</f>
        <v>no</v>
      </c>
      <c r="P18" s="191" t="str">
        <f>Taxonomy!O14</f>
        <v>OS-provided PID CPU %</v>
      </c>
      <c r="Q18"/>
      <c r="R18" s="191" t="str">
        <f>Taxonomy!Q14</f>
        <v>no</v>
      </c>
      <c r="S18" s="191" t="str">
        <f>Taxonomy!R14</f>
        <v>✗(RAPL)</v>
      </c>
      <c r="T18" s="191" t="str">
        <f>Taxonomy!S14</f>
        <v>no</v>
      </c>
      <c r="U18" s="191" t="str">
        <f>Taxonomy!T14</f>
        <v>PID CPU %</v>
      </c>
      <c r="V18"/>
      <c r="W18" s="191" t="str">
        <f>Taxonomy!V14</f>
        <v>no</v>
      </c>
      <c r="X18" s="191" t="str">
        <f>Taxonomy!W14</f>
        <v>✗(NVIDIA-SMI, AMD-SMI) (computers and servers)</v>
      </c>
      <c r="Y18" s="191" t="str">
        <f>Taxonomy!X14</f>
        <v>no</v>
      </c>
      <c r="Z18" s="191" t="str">
        <f>Taxonomy!Y14</f>
        <v>PID GPU % (from driver API)</v>
      </c>
      <c r="AA18"/>
      <c r="AB18" s="191" t="str">
        <f>Taxonomy!AA14</f>
        <v>no</v>
      </c>
      <c r="AC18" s="191" t="str">
        <f>Taxonomy!AB14</f>
        <v>no</v>
      </c>
      <c r="AD18" s="191" t="str">
        <f>Taxonomy!AC14</f>
        <v>no</v>
      </c>
      <c r="AE18" s="191" t="str">
        <f>Taxonomy!AD14</f>
        <v>no</v>
      </c>
      <c r="AF18"/>
      <c r="AG18" s="191" t="str">
        <f>Taxonomy!AF14</f>
        <v>no</v>
      </c>
      <c r="AH18" s="191" t="str">
        <f>Taxonomy!AG14</f>
        <v>no</v>
      </c>
      <c r="AI18" s="191" t="str">
        <f>Taxonomy!AH14</f>
        <v>polynomial regression For Rasberry Pi</v>
      </c>
      <c r="AJ18" s="191" t="str">
        <f>Taxonomy!AI14</f>
        <v>OS-provided PID CPU %</v>
      </c>
      <c r="AL18" s="191" t="str">
        <f>Taxonomy!AK14</f>
        <v>✗</v>
      </c>
      <c r="AM18" s="191" t="str">
        <f>Taxonomy!AL14</f>
        <v>no</v>
      </c>
      <c r="AN18" s="191" t="str">
        <f>Taxonomy!AM14</f>
        <v>no</v>
      </c>
      <c r="AO18" s="191" t="str">
        <f>Taxonomy!AN14</f>
        <v>no</v>
      </c>
      <c r="AP18" s="191" t="str">
        <f>Taxonomy!AO14</f>
        <v>no</v>
      </c>
      <c r="AR18" s="191" t="str">
        <f>Taxonomy!AQ14</f>
        <v>no</v>
      </c>
      <c r="AS18" s="191" t="str">
        <f>Taxonomy!AR14</f>
        <v>✗</v>
      </c>
      <c r="AT18" s="191" t="str">
        <f>Taxonomy!AS14</f>
        <v>no</v>
      </c>
    </row>
    <row r="19" spans="3:46" ht="350" customHeight="1">
      <c r="C19" s="195" t="s">
        <v>215</v>
      </c>
      <c r="D19" s="189"/>
      <c r="E19" s="191" t="str">
        <f>Taxonomy!D15</f>
        <v>✗</v>
      </c>
      <c r="F19" s="191" t="str">
        <f>Taxonomy!E15</f>
        <v>no</v>
      </c>
      <c r="G19" s="191" t="str">
        <f>Taxonomy!F15</f>
        <v>no</v>
      </c>
      <c r="H19" s="191" t="str">
        <f>Taxonomy!G15</f>
        <v>✗</v>
      </c>
      <c r="I19" s="191" t="str">
        <f>Taxonomy!H15</f>
        <v>✗</v>
      </c>
      <c r="J19" s="191" t="str">
        <f>Taxonomy!I15</f>
        <v>no</v>
      </c>
      <c r="K19" s="191" t="str">
        <f>Taxonomy!J15</f>
        <v>no</v>
      </c>
      <c r="L19"/>
      <c r="M19" s="191" t="str">
        <f>Taxonomy!L15</f>
        <v>no</v>
      </c>
      <c r="N19" s="191" t="str">
        <f>Taxonomy!M15</f>
        <v>✗ (RAPL (linux/windows) or powerMetrics (Mac))</v>
      </c>
      <c r="O19" s="191" t="str">
        <f>Taxonomy!N15</f>
        <v>no</v>
      </c>
      <c r="P19" s="191" t="str">
        <f>Taxonomy!O15</f>
        <v>OS-provided PID CPU %</v>
      </c>
      <c r="Q19"/>
      <c r="R19" s="191" t="str">
        <f>Taxonomy!Q15</f>
        <v>no</v>
      </c>
      <c r="S19" s="191" t="str">
        <f>Taxonomy!R15</f>
        <v>✗(RAPL)</v>
      </c>
      <c r="T19" s="191" t="str">
        <f>Taxonomy!S15</f>
        <v>no</v>
      </c>
      <c r="U19" s="191" t="str">
        <f>Taxonomy!T15</f>
        <v>PID CPU %</v>
      </c>
      <c r="V19"/>
      <c r="W19" s="191" t="str">
        <f>Taxonomy!V15</f>
        <v>no</v>
      </c>
      <c r="X19" s="191" t="str">
        <f>Taxonomy!W15</f>
        <v>✗(NVIDIA-SMI, AMD-SMI) (computers and servers)</v>
      </c>
      <c r="Y19" s="191" t="str">
        <f>Taxonomy!X15</f>
        <v>no</v>
      </c>
      <c r="Z19" s="191" t="str">
        <f>Taxonomy!Y15</f>
        <v>PID GPU % (from driver API)</v>
      </c>
      <c r="AA19"/>
      <c r="AB19" s="191" t="str">
        <f>Taxonomy!AA15</f>
        <v>no</v>
      </c>
      <c r="AC19" s="191" t="str">
        <f>Taxonomy!AB15</f>
        <v>no</v>
      </c>
      <c r="AD19" s="191" t="str">
        <f>Taxonomy!AC15</f>
        <v>no</v>
      </c>
      <c r="AE19" s="191" t="str">
        <f>Taxonomy!AD15</f>
        <v>no</v>
      </c>
      <c r="AF19"/>
      <c r="AG19" s="191" t="str">
        <f>Taxonomy!AF15</f>
        <v>no</v>
      </c>
      <c r="AH19" s="191" t="str">
        <f>Taxonomy!AG15</f>
        <v>✗(RAPL)</v>
      </c>
      <c r="AI19" s="191" t="str">
        <f>Taxonomy!AH15</f>
        <v>polynomial regression For Rasberry Pi</v>
      </c>
      <c r="AJ19" s="191" t="str">
        <f>Taxonomy!AI15</f>
        <v>OS-provided PID CPU %</v>
      </c>
      <c r="AL19" s="191" t="str">
        <f>Taxonomy!AK15</f>
        <v>✗</v>
      </c>
      <c r="AM19" s="191" t="str">
        <f>Taxonomy!AL15</f>
        <v>no</v>
      </c>
      <c r="AN19" s="191" t="str">
        <f>Taxonomy!AM15</f>
        <v>no</v>
      </c>
      <c r="AO19" s="191" t="str">
        <f>Taxonomy!AN15</f>
        <v>no</v>
      </c>
      <c r="AP19" s="191" t="str">
        <f>Taxonomy!AO15</f>
        <v>Modeled and 
substracted before allocation</v>
      </c>
      <c r="AR19" s="191" t="str">
        <f>Taxonomy!AQ15</f>
        <v>no</v>
      </c>
      <c r="AS19" s="191" t="str">
        <f>Taxonomy!AR15</f>
        <v>✗</v>
      </c>
      <c r="AT19" s="191" t="str">
        <f>Taxonomy!AS15</f>
        <v>no</v>
      </c>
    </row>
    <row r="20" spans="3:46" ht="30" customHeight="1">
      <c r="C20" s="145"/>
      <c r="D20" s="189"/>
      <c r="E20"/>
      <c r="F20" s="192"/>
      <c r="G20" s="192"/>
      <c r="H20" s="192"/>
      <c r="I20" s="192"/>
      <c r="J20" s="192"/>
      <c r="K20" s="192"/>
      <c r="L20"/>
      <c r="M20" s="192"/>
      <c r="N20" s="192"/>
      <c r="O20" s="192"/>
      <c r="P20" s="192"/>
      <c r="Q20"/>
      <c r="R20" s="192"/>
      <c r="S20" s="192"/>
      <c r="T20" s="192"/>
      <c r="U20" s="192"/>
      <c r="V20"/>
      <c r="W20" s="192"/>
      <c r="X20" s="192"/>
      <c r="Y20" s="192"/>
      <c r="Z20" s="192"/>
      <c r="AA20"/>
      <c r="AB20" s="192"/>
      <c r="AC20" s="192"/>
      <c r="AD20" s="192"/>
      <c r="AE20" s="192"/>
      <c r="AF20"/>
      <c r="AG20" s="192"/>
      <c r="AH20" s="192"/>
      <c r="AI20" s="192"/>
      <c r="AJ20" s="192"/>
      <c r="AL20" s="192"/>
      <c r="AM20" s="192"/>
      <c r="AN20" s="192"/>
      <c r="AO20" s="192"/>
      <c r="AP20" s="192"/>
      <c r="AR20" s="192"/>
      <c r="AS20" s="192"/>
      <c r="AT20" s="192"/>
    </row>
    <row r="21" spans="3:46" ht="354" customHeight="1">
      <c r="C21" s="196" t="s">
        <v>267</v>
      </c>
      <c r="D21" s="189"/>
      <c r="E21" s="191" t="str">
        <f>Taxonomy!D17</f>
        <v>no</v>
      </c>
      <c r="F21" s="191" t="str">
        <f>Taxonomy!E17</f>
        <v>no</v>
      </c>
      <c r="G21" s="191" t="str">
        <f>Taxonomy!F17</f>
        <v>no</v>
      </c>
      <c r="H21" s="191" t="str">
        <f>Taxonomy!G17</f>
        <v>no</v>
      </c>
      <c r="I21" s="191" t="str">
        <f>Taxonomy!H17</f>
        <v>no</v>
      </c>
      <c r="J21" s="191" t="str">
        <f>Taxonomy!I17</f>
        <v>✗</v>
      </c>
      <c r="K21" s="191" t="str">
        <f>Taxonomy!J17</f>
        <v>✗</v>
      </c>
      <c r="L21"/>
      <c r="M21" s="191" t="str">
        <f>Taxonomy!L17</f>
        <v>no</v>
      </c>
      <c r="N21" s="191" t="str">
        <f>Taxonomy!M17</f>
        <v>no</v>
      </c>
      <c r="O21" s="191" t="str">
        <f>Taxonomy!N17</f>
        <v>✗ (TDP) Through PowerAPI</v>
      </c>
      <c r="P21" s="191" t="str">
        <f>Taxonomy!O17</f>
        <v>1) Time Markers : JVM byte code  instrumentation /
2) Call stack</v>
      </c>
      <c r="Q21"/>
      <c r="R21" s="191" t="str">
        <f>Taxonomy!Q17</f>
        <v>no</v>
      </c>
      <c r="S21" s="191" t="str">
        <f>Taxonomy!R17</f>
        <v>no</v>
      </c>
      <c r="T21" s="191" t="str">
        <f>Taxonomy!S17</f>
        <v>no</v>
      </c>
      <c r="U21" s="191" t="str">
        <f>Taxonomy!T17</f>
        <v>no</v>
      </c>
      <c r="V21"/>
      <c r="W21" s="191" t="str">
        <f>Taxonomy!V17</f>
        <v>no</v>
      </c>
      <c r="X21" s="191" t="str">
        <f>Taxonomy!W17</f>
        <v>no</v>
      </c>
      <c r="Y21" s="191" t="str">
        <f>Taxonomy!X17</f>
        <v>no</v>
      </c>
      <c r="Z21" s="191" t="str">
        <f>Taxonomy!Y17</f>
        <v>no</v>
      </c>
      <c r="AA21"/>
      <c r="AB21" s="191" t="str">
        <f>Taxonomy!AA17</f>
        <v>no</v>
      </c>
      <c r="AC21" s="191" t="str">
        <f>Taxonomy!AB17</f>
        <v>no</v>
      </c>
      <c r="AD21" s="191" t="str">
        <f>Taxonomy!AC17</f>
        <v>✗(Through PowerAPI)</v>
      </c>
      <c r="AE21" s="191" t="str">
        <f>Taxonomy!AD17</f>
        <v xml:space="preserve"> getInputStream()  getOutputStream() calls</v>
      </c>
      <c r="AF21"/>
      <c r="AG21" s="191" t="str">
        <f>Taxonomy!AF17</f>
        <v>no</v>
      </c>
      <c r="AH21" s="191" t="str">
        <f>Taxonomy!AG17</f>
        <v>no</v>
      </c>
      <c r="AI21" s="191" t="str">
        <f>Taxonomy!AH17</f>
        <v>no</v>
      </c>
      <c r="AJ21" s="191" t="str">
        <f>Taxonomy!AI17</f>
        <v>no</v>
      </c>
      <c r="AL21" s="191" t="str">
        <f>Taxonomy!AK17</f>
        <v>✗ (For NIC)</v>
      </c>
      <c r="AM21" s="191" t="str">
        <f>Taxonomy!AL17</f>
        <v>no</v>
      </c>
      <c r="AN21" s="191" t="str">
        <f>Taxonomy!AM17</f>
        <v>✗(for CPU : call-stack sampling version)</v>
      </c>
      <c r="AO21" s="191" t="str">
        <f>Taxonomy!AN17</f>
        <v>✗ (for CPU : bytecode instrumentation version)</v>
      </c>
      <c r="AP21" s="191" t="str">
        <f>Taxonomy!AO17</f>
        <v>no</v>
      </c>
      <c r="AR21" s="191" t="str">
        <f>Taxonomy!AQ17</f>
        <v>no</v>
      </c>
      <c r="AS21" s="191" t="str">
        <f>Taxonomy!AR17</f>
        <v>no</v>
      </c>
      <c r="AT21" s="191" t="str">
        <f>Taxonomy!AS17</f>
        <v>no</v>
      </c>
    </row>
    <row r="22" spans="3:46" ht="409.5" customHeight="1">
      <c r="C22" s="194" t="s">
        <v>223</v>
      </c>
      <c r="D22" s="189"/>
      <c r="E22" s="191" t="str">
        <f>Taxonomy!D18</f>
        <v>no</v>
      </c>
      <c r="F22" s="191" t="str">
        <f>Taxonomy!E18</f>
        <v>no</v>
      </c>
      <c r="G22" s="191" t="str">
        <f>Taxonomy!F18</f>
        <v>no</v>
      </c>
      <c r="H22" s="191" t="str">
        <f>Taxonomy!G18</f>
        <v>no</v>
      </c>
      <c r="I22" s="191" t="str">
        <f>Taxonomy!H18</f>
        <v>no</v>
      </c>
      <c r="J22" s="191" t="str">
        <f>Taxonomy!I18</f>
        <v>✗</v>
      </c>
      <c r="K22" s="191" t="str">
        <f>Taxonomy!J18</f>
        <v>✗</v>
      </c>
      <c r="L22"/>
      <c r="M22" s="191" t="str">
        <f>Taxonomy!L18</f>
        <v>no</v>
      </c>
      <c r="N22" s="191" t="str">
        <f>Taxonomy!M18</f>
        <v>✗ (RAPL through powercap)</v>
      </c>
      <c r="O22" s="191" t="str">
        <f>Taxonomy!N18</f>
        <v>no</v>
      </c>
      <c r="P22" s="191" t="str">
        <f>Taxonomy!O18</f>
        <v>1) OS-provided PID CPU %  for Java Threads through JVM instrumentation
2) Call Stack</v>
      </c>
      <c r="Q22"/>
      <c r="R22" s="191" t="str">
        <f>Taxonomy!Q18</f>
        <v>no</v>
      </c>
      <c r="S22" s="191" t="str">
        <f>Taxonomy!R18</f>
        <v>✗(RAPL) Through Power Joular</v>
      </c>
      <c r="T22" s="191" t="str">
        <f>Taxonomy!S18</f>
        <v>no</v>
      </c>
      <c r="U22" s="191" t="str">
        <f>Taxonomy!T18</f>
        <v>1) OS-provided PID CPU % for Java Threads through JVM instrumentation
2) Statistical sampling of thread stack trace</v>
      </c>
      <c r="V22"/>
      <c r="W22" s="191" t="str">
        <f>Taxonomy!V18</f>
        <v>no</v>
      </c>
      <c r="X22" s="191" t="str">
        <f>Taxonomy!W18</f>
        <v>✗(NVIDIA SMI) (computers and servers through Power Joular</v>
      </c>
      <c r="Y22" s="191" t="str">
        <f>Taxonomy!X18</f>
        <v>no</v>
      </c>
      <c r="Z22" s="191" t="str">
        <f>Taxonomy!Y18</f>
        <v>1) OS-provided PID CPU % for Java Threads through JVM instrumentation
2) Statistical sampling of thread stack trace</v>
      </c>
      <c r="AA22"/>
      <c r="AB22" s="191" t="str">
        <f>Taxonomy!AA18</f>
        <v>no</v>
      </c>
      <c r="AC22" s="191" t="str">
        <f>Taxonomy!AB18</f>
        <v>no</v>
      </c>
      <c r="AD22" s="191" t="str">
        <f>Taxonomy!AC18</f>
        <v>no</v>
      </c>
      <c r="AE22" s="191" t="str">
        <f>Taxonomy!AD18</f>
        <v>no</v>
      </c>
      <c r="AF22"/>
      <c r="AG22" s="191" t="str">
        <f>Taxonomy!AF18</f>
        <v>no</v>
      </c>
      <c r="AH22" s="191" t="str">
        <f>Taxonomy!AG18</f>
        <v>no</v>
      </c>
      <c r="AI22" s="191" t="str">
        <f>Taxonomy!AH18</f>
        <v>polynomial regression For Rasberry Pi</v>
      </c>
      <c r="AJ22" s="191" t="str">
        <f>Taxonomy!AI18</f>
        <v>1) OS-provided PID CPU % for Java Threads through JVM instrumentation
2) Statistical sampling of thread stack trace</v>
      </c>
      <c r="AL22" s="191" t="str">
        <f>Taxonomy!AK18</f>
        <v>✗(for threads)</v>
      </c>
      <c r="AM22" s="191" t="str">
        <f>Taxonomy!AL18</f>
        <v>no</v>
      </c>
      <c r="AN22" s="191" t="str">
        <f>Taxonomy!AM18</f>
        <v>✗</v>
      </c>
      <c r="AO22" s="191" t="str">
        <f>Taxonomy!AN18</f>
        <v>no</v>
      </c>
      <c r="AP22" s="191" t="str">
        <f>Taxonomy!AO18</f>
        <v>no</v>
      </c>
      <c r="AR22" s="191" t="str">
        <f>Taxonomy!AQ18</f>
        <v>no</v>
      </c>
      <c r="AS22" s="191" t="str">
        <f>Taxonomy!AR18</f>
        <v>no</v>
      </c>
      <c r="AT22" s="191" t="str">
        <f>Taxonomy!AS18</f>
        <v>Uses PowerJoular</v>
      </c>
    </row>
    <row r="23" spans="3:46" ht="409" customHeight="1">
      <c r="C23" s="194" t="s">
        <v>196</v>
      </c>
      <c r="D23" s="189"/>
      <c r="E23" s="191" t="str">
        <f>Taxonomy!D19</f>
        <v>✗</v>
      </c>
      <c r="F23" s="191" t="str">
        <f>Taxonomy!E19</f>
        <v>no</v>
      </c>
      <c r="G23" s="191" t="str">
        <f>Taxonomy!F19</f>
        <v>no</v>
      </c>
      <c r="H23" s="191" t="str">
        <f>Taxonomy!G19</f>
        <v>✗</v>
      </c>
      <c r="I23" s="191" t="str">
        <f>Taxonomy!H19</f>
        <v>✗</v>
      </c>
      <c r="J23" s="191" t="str">
        <f>Taxonomy!I19</f>
        <v>✗</v>
      </c>
      <c r="K23" s="191" t="str">
        <f>Taxonomy!J19</f>
        <v>✗</v>
      </c>
      <c r="L23"/>
      <c r="M23" s="191" t="str">
        <f>Taxonomy!L19</f>
        <v>no</v>
      </c>
      <c r="N23" s="191" t="str">
        <f>Taxonomy!M19</f>
        <v>✗ (RAPL throush PAPI)</v>
      </c>
      <c r="O23" s="191" t="str">
        <f>Taxonomy!N19</f>
        <v>no</v>
      </c>
      <c r="P23" s="191" t="str">
        <f>Taxonomy!O19</f>
        <v>Call stack</v>
      </c>
      <c r="Q23"/>
      <c r="R23" s="191" t="str">
        <f>Taxonomy!Q19</f>
        <v>no</v>
      </c>
      <c r="S23" s="191" t="str">
        <f>Taxonomy!R19</f>
        <v>✗(RAPL)</v>
      </c>
      <c r="T23" s="191" t="str">
        <f>Taxonomy!S19</f>
        <v>no</v>
      </c>
      <c r="U23" s="191" t="str">
        <f>Taxonomy!T19</f>
        <v>Call stack sampling</v>
      </c>
      <c r="V23"/>
      <c r="W23" s="191" t="str">
        <f>Taxonomy!V19</f>
        <v>no</v>
      </c>
      <c r="X23" s="191" t="str">
        <f>Taxonomy!W19</f>
        <v>no</v>
      </c>
      <c r="Y23" s="191" t="str">
        <f>Taxonomy!X19</f>
        <v>no</v>
      </c>
      <c r="Z23" s="191" t="str">
        <f>Taxonomy!Y19</f>
        <v>no</v>
      </c>
      <c r="AA23"/>
      <c r="AB23" s="191" t="str">
        <f>Taxonomy!AA19</f>
        <v>no</v>
      </c>
      <c r="AC23" s="191" t="str">
        <f>Taxonomy!AB19</f>
        <v>no</v>
      </c>
      <c r="AD23" s="191" t="str">
        <f>Taxonomy!AC19</f>
        <v>no</v>
      </c>
      <c r="AE23" s="191" t="str">
        <f>Taxonomy!AD19</f>
        <v>no</v>
      </c>
      <c r="AF23"/>
      <c r="AG23" s="191" t="str">
        <f>Taxonomy!AF19</f>
        <v>no</v>
      </c>
      <c r="AH23" s="191" t="str">
        <f>Taxonomy!AG19</f>
        <v>✗ (RAPL throush PAPI)</v>
      </c>
      <c r="AI23" s="191" t="str">
        <f>Taxonomy!AH19</f>
        <v>no</v>
      </c>
      <c r="AJ23" s="191" t="str">
        <f>Taxonomy!AI19</f>
        <v>Call stack sampling</v>
      </c>
      <c r="AL23" s="191" t="str">
        <f>Taxonomy!AK19</f>
        <v>no</v>
      </c>
      <c r="AM23" s="191" t="str">
        <f>Taxonomy!AL19</f>
        <v>no</v>
      </c>
      <c r="AN23" s="191" t="str">
        <f>Taxonomy!AM19</f>
        <v>✗(1) Allocate all RAPL system energy to process it is attached to
2) Statistical Sampling (stack trace) to allocate energy to functions)</v>
      </c>
      <c r="AO23" s="191" t="str">
        <f>Taxonomy!AN19</f>
        <v>no</v>
      </c>
      <c r="AP23" s="191" t="str">
        <f>Taxonomy!AO19</f>
        <v>no</v>
      </c>
      <c r="AR23" s="191" t="str">
        <f>Taxonomy!AQ19</f>
        <v>no</v>
      </c>
      <c r="AS23" s="191" t="str">
        <f>Taxonomy!AR19</f>
        <v>no</v>
      </c>
      <c r="AT23" s="191" t="str">
        <f>Taxonomy!AS19</f>
        <v>no</v>
      </c>
    </row>
    <row r="24" spans="3:46" ht="377" customHeight="1">
      <c r="C24" s="194" t="s">
        <v>42</v>
      </c>
      <c r="D24" s="189"/>
      <c r="E24" s="191" t="str">
        <f>Taxonomy!D20</f>
        <v>no</v>
      </c>
      <c r="F24" s="191" t="str">
        <f>Taxonomy!E20</f>
        <v>no</v>
      </c>
      <c r="G24" s="191" t="str">
        <f>Taxonomy!F20</f>
        <v>no</v>
      </c>
      <c r="H24" s="191" t="str">
        <f>Taxonomy!G20</f>
        <v>no</v>
      </c>
      <c r="I24" s="191" t="str">
        <f>Taxonomy!H20</f>
        <v>no</v>
      </c>
      <c r="J24" s="191" t="str">
        <f>Taxonomy!I20</f>
        <v>no</v>
      </c>
      <c r="K24" s="191" t="str">
        <f>Taxonomy!J20</f>
        <v>✗</v>
      </c>
      <c r="L24"/>
      <c r="M24" s="191" t="str">
        <f>Taxonomy!L20</f>
        <v>no</v>
      </c>
      <c r="N24" s="191" t="str">
        <f>Taxonomy!M20</f>
        <v>✗ (RAPL through linux  MSR kernel module)</v>
      </c>
      <c r="O24" s="191" t="str">
        <f>Taxonomy!N20</f>
        <v>no</v>
      </c>
      <c r="P24" s="191" t="str">
        <f>Taxonomy!O20</f>
        <v>Time Markers</v>
      </c>
      <c r="Q24"/>
      <c r="R24" s="191" t="str">
        <f>Taxonomy!Q20</f>
        <v>no</v>
      </c>
      <c r="S24" s="191" t="str">
        <f>Taxonomy!R20</f>
        <v>✗ (RAPL through linux  MSR kernel module)</v>
      </c>
      <c r="T24" s="191" t="str">
        <f>Taxonomy!S20</f>
        <v>no</v>
      </c>
      <c r="U24" s="191" t="str">
        <f>Taxonomy!T20</f>
        <v>Time Markers</v>
      </c>
      <c r="V24"/>
      <c r="W24" s="191" t="str">
        <f>Taxonomy!V20</f>
        <v>no</v>
      </c>
      <c r="X24" s="191" t="str">
        <f>Taxonomy!W20</f>
        <v>no</v>
      </c>
      <c r="Y24" s="191" t="str">
        <f>Taxonomy!X20</f>
        <v>no</v>
      </c>
      <c r="Z24" s="191" t="str">
        <f>Taxonomy!Y20</f>
        <v>no</v>
      </c>
      <c r="AA24"/>
      <c r="AB24" s="191" t="str">
        <f>Taxonomy!AA20</f>
        <v>no</v>
      </c>
      <c r="AC24" s="191" t="str">
        <f>Taxonomy!AB20</f>
        <v>no</v>
      </c>
      <c r="AD24" s="191" t="str">
        <f>Taxonomy!AC20</f>
        <v>no</v>
      </c>
      <c r="AE24" s="191" t="str">
        <f>Taxonomy!AD20</f>
        <v>no</v>
      </c>
      <c r="AF24"/>
      <c r="AG24" s="191" t="str">
        <f>Taxonomy!AF20</f>
        <v>no</v>
      </c>
      <c r="AH24" s="191" t="str">
        <f>Taxonomy!AG20</f>
        <v>✗ (RAPL through linux  MSR kernel module)</v>
      </c>
      <c r="AI24" s="191" t="str">
        <f>Taxonomy!AH20</f>
        <v>no</v>
      </c>
      <c r="AJ24" s="191" t="str">
        <f>Taxonomy!AI20</f>
        <v>Time Markers</v>
      </c>
      <c r="AL24" s="191" t="str">
        <f>Taxonomy!AK20</f>
        <v>no</v>
      </c>
      <c r="AM24" s="191" t="str">
        <f>Taxonomy!AL20</f>
        <v>no</v>
      </c>
      <c r="AN24" s="191" t="str">
        <f>Taxonomy!AM20</f>
        <v>no</v>
      </c>
      <c r="AO24" s="191" t="str">
        <f>Taxonomy!AN20</f>
        <v>✗</v>
      </c>
      <c r="AP24" s="191" t="str">
        <f>Taxonomy!AO20</f>
        <v>no</v>
      </c>
      <c r="AR24" s="191" t="str">
        <f>Taxonomy!AQ20</f>
        <v>no</v>
      </c>
      <c r="AS24" s="191" t="str">
        <f>Taxonomy!AR20</f>
        <v>no</v>
      </c>
      <c r="AT24" s="191" t="str">
        <f>Taxonomy!AS20</f>
        <v>no</v>
      </c>
    </row>
    <row r="49" ht="30" customHeight="1"/>
  </sheetData>
  <mergeCells count="36">
    <mergeCell ref="AJ8:AJ9"/>
    <mergeCell ref="AO8:AO9"/>
    <mergeCell ref="AG7:AJ7"/>
    <mergeCell ref="AL7:AO7"/>
    <mergeCell ref="AP7:AP9"/>
    <mergeCell ref="AT7:AT9"/>
    <mergeCell ref="M8:O8"/>
    <mergeCell ref="P8:P9"/>
    <mergeCell ref="R8:T8"/>
    <mergeCell ref="U8:U9"/>
    <mergeCell ref="W8:Y8"/>
    <mergeCell ref="Z8:Z9"/>
    <mergeCell ref="C6:C9"/>
    <mergeCell ref="E6:K6"/>
    <mergeCell ref="M6:AJ6"/>
    <mergeCell ref="AL6:AP6"/>
    <mergeCell ref="AR6:AT6"/>
    <mergeCell ref="K7:K9"/>
    <mergeCell ref="M7:P7"/>
    <mergeCell ref="R7:U7"/>
    <mergeCell ref="W7:Z7"/>
    <mergeCell ref="AB7:AE7"/>
    <mergeCell ref="AB8:AD8"/>
    <mergeCell ref="AE8:AE9"/>
    <mergeCell ref="AG8:AI8"/>
    <mergeCell ref="AR7:AR9"/>
    <mergeCell ref="AS7:AS9"/>
    <mergeCell ref="AL8:AL9"/>
    <mergeCell ref="AM8:AM9"/>
    <mergeCell ref="AN8:AN9"/>
    <mergeCell ref="I7:I9"/>
    <mergeCell ref="J7:J9"/>
    <mergeCell ref="E7:E9"/>
    <mergeCell ref="F7:F9"/>
    <mergeCell ref="G7:G9"/>
    <mergeCell ref="H7:H9"/>
  </mergeCells>
  <conditionalFormatting sqref="E11:K14 AL11:AP24 AR11:AT24 M11:P24 R11:U24 W11:Z24 AB11:AE24 AG11:AJ24 E21:K24 F20:K20 E16:K19 F15:K15">
    <cfRule type="beginsWith" dxfId="12" priority="1" stopIfTrue="1" operator="beginsWith" text="no">
      <formula>LEFT(E11,LEN("no"))="no"</formula>
    </cfRule>
    <cfRule type="notContainsBlanks" dxfId="11" priority="7" stopIfTrue="1">
      <formula>LEN(TRIM(E11))&gt;0</formula>
    </cfRule>
  </conditionalFormatting>
  <pageMargins left="0.7" right="0.7" top="0.75" bottom="0.75" header="0.3" footer="0.3"/>
  <pageSetup paperSize="9" scale="1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Tools</vt:lpstr>
      <vt:lpstr>Inclusion Exclusion</vt:lpstr>
      <vt:lpstr>Classification</vt:lpstr>
      <vt:lpstr>Taxonomy</vt:lpstr>
      <vt:lpstr>Taxonomy 2 (Design Space Alone)</vt:lpstr>
      <vt:lpstr>'Taxonomy 2 (Design Space Alone)'!Print_Area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2026-08-17T11:21:22Z</dcterms:modified>
</cp:coreProperties>
</file>