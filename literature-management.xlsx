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mc:AlternateContent xmlns:mc="http://schemas.openxmlformats.org/markup-compatibility/2006">
    <mc:Choice Requires="x15">
      <x15ac:absPath xmlns:x15ac="http://schemas.microsoft.com/office/spreadsheetml/2010/11/ac" url="/Users/jay/phd/papers/sok - a survey on software power monitoring tools/"/>
    </mc:Choice>
  </mc:AlternateContent>
  <xr:revisionPtr revIDLastSave="0" documentId="13_ncr:1_{B91E86E4-C0FD-6740-BAAF-94BCA96EFA10}" xr6:coauthVersionLast="47" xr6:coauthVersionMax="47" xr10:uidLastSave="{00000000-0000-0000-0000-000000000000}"/>
  <bookViews>
    <workbookView minimized="1" xWindow="0" yWindow="760" windowWidth="30240" windowHeight="18880" activeTab="6" xr2:uid="{00000000-000D-0000-FFFF-FFFF00000000}"/>
  </bookViews>
  <sheets>
    <sheet name="Tools" sheetId="1" r:id="rId1"/>
    <sheet name="Inclusion Exclusion" sheetId="2" r:id="rId2"/>
    <sheet name="Classification" sheetId="3" r:id="rId3"/>
    <sheet name="Taxonomy" sheetId="4" r:id="rId4"/>
    <sheet name="Design Space" sheetId="5" r:id="rId5"/>
    <sheet name="Design Space - Vertical" sheetId="8" r:id="rId6"/>
    <sheet name="Operational Constraint" sheetId="6" r:id="rId7"/>
    <sheet name="Maturity and Ecosystem" sheetId="7" r:id="rId8"/>
  </sheets>
  <definedNames>
    <definedName name="_xlnm.Print_Area" localSheetId="4">'Design Space'!$C$6:$AT$24</definedName>
    <definedName name="_xlnm.Print_Area" localSheetId="5">'Design Space - Vertical'!$C$6:$AT$24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2" l="1"/>
  <c r="I5" i="2"/>
  <c r="I6" i="2"/>
  <c r="I7" i="2"/>
  <c r="I8" i="2"/>
  <c r="I9" i="2"/>
  <c r="I10" i="2"/>
  <c r="I11" i="2"/>
  <c r="I12" i="2"/>
  <c r="I13" i="2"/>
  <c r="I14" i="2"/>
  <c r="I15" i="2"/>
  <c r="I16" i="2"/>
  <c r="I17" i="2"/>
  <c r="I18" i="2"/>
  <c r="I19" i="2"/>
  <c r="I20" i="2"/>
  <c r="I21" i="2"/>
  <c r="I3" i="2"/>
  <c r="K45" i="8"/>
  <c r="L17" i="8"/>
  <c r="T52" i="8"/>
  <c r="L22" i="8"/>
  <c r="V52" i="8"/>
  <c r="U52" i="8"/>
  <c r="S52" i="8"/>
  <c r="Q52" i="8"/>
  <c r="P52" i="8"/>
  <c r="O52" i="8"/>
  <c r="N52" i="8"/>
  <c r="L52" i="8"/>
  <c r="K52" i="8"/>
  <c r="J52" i="8"/>
  <c r="I52" i="8"/>
  <c r="V51" i="8"/>
  <c r="U51" i="8"/>
  <c r="T51" i="8"/>
  <c r="S51" i="8"/>
  <c r="Q51" i="8"/>
  <c r="P51" i="8"/>
  <c r="O51" i="8"/>
  <c r="N51" i="8"/>
  <c r="L51" i="8"/>
  <c r="K51" i="8"/>
  <c r="J51" i="8"/>
  <c r="I51" i="8"/>
  <c r="V50" i="8"/>
  <c r="U50" i="8"/>
  <c r="T50" i="8"/>
  <c r="S50" i="8"/>
  <c r="Q50" i="8"/>
  <c r="P50" i="8"/>
  <c r="O50" i="8"/>
  <c r="N50" i="8"/>
  <c r="L50" i="8"/>
  <c r="K50" i="8"/>
  <c r="J50" i="8"/>
  <c r="I50" i="8"/>
  <c r="V48" i="8"/>
  <c r="U48" i="8"/>
  <c r="T48" i="8"/>
  <c r="S48" i="8"/>
  <c r="Q48" i="8"/>
  <c r="P48" i="8"/>
  <c r="O48" i="8"/>
  <c r="N48" i="8"/>
  <c r="L48" i="8"/>
  <c r="K48" i="8"/>
  <c r="J48" i="8"/>
  <c r="I48" i="8"/>
  <c r="V47" i="8"/>
  <c r="U47" i="8"/>
  <c r="T47" i="8"/>
  <c r="S47" i="8"/>
  <c r="Q47" i="8"/>
  <c r="P47" i="8"/>
  <c r="O47" i="8"/>
  <c r="N47" i="8"/>
  <c r="L47" i="8"/>
  <c r="K47" i="8"/>
  <c r="J47" i="8"/>
  <c r="I47" i="8"/>
  <c r="V46" i="8"/>
  <c r="U46" i="8"/>
  <c r="T46" i="8"/>
  <c r="S46" i="8"/>
  <c r="Q46" i="8"/>
  <c r="P46" i="8"/>
  <c r="O46" i="8"/>
  <c r="N46" i="8"/>
  <c r="L46" i="8"/>
  <c r="K46" i="8"/>
  <c r="J46" i="8"/>
  <c r="I46" i="8"/>
  <c r="V45" i="8"/>
  <c r="U45" i="8"/>
  <c r="T45" i="8"/>
  <c r="S45" i="8"/>
  <c r="Q45" i="8"/>
  <c r="P45" i="8"/>
  <c r="O45" i="8"/>
  <c r="N45" i="8"/>
  <c r="L45" i="8"/>
  <c r="J45" i="8"/>
  <c r="I45" i="8"/>
  <c r="V44" i="8"/>
  <c r="U44" i="8"/>
  <c r="T44" i="8"/>
  <c r="S44" i="8"/>
  <c r="Q44" i="8"/>
  <c r="P44" i="8"/>
  <c r="O44" i="8"/>
  <c r="N44" i="8"/>
  <c r="L44" i="8"/>
  <c r="K44" i="8"/>
  <c r="J44" i="8"/>
  <c r="I44" i="8"/>
  <c r="V42" i="8"/>
  <c r="U42" i="8"/>
  <c r="T42" i="8"/>
  <c r="S42" i="8"/>
  <c r="Q42" i="8"/>
  <c r="P42" i="8"/>
  <c r="O42" i="8"/>
  <c r="N42" i="8"/>
  <c r="L42" i="8"/>
  <c r="K42" i="8"/>
  <c r="J42" i="8"/>
  <c r="I42" i="8"/>
  <c r="V41" i="8"/>
  <c r="U41" i="8"/>
  <c r="T41" i="8"/>
  <c r="S41" i="8"/>
  <c r="Q41" i="8"/>
  <c r="P41" i="8"/>
  <c r="O41" i="8"/>
  <c r="N41" i="8"/>
  <c r="L41" i="8"/>
  <c r="K41" i="8"/>
  <c r="J41" i="8"/>
  <c r="I41" i="8"/>
  <c r="V40" i="8"/>
  <c r="U40" i="8"/>
  <c r="T40" i="8"/>
  <c r="S40" i="8"/>
  <c r="Q40" i="8"/>
  <c r="P40" i="8"/>
  <c r="O40" i="8"/>
  <c r="N40" i="8"/>
  <c r="L40" i="8"/>
  <c r="K40" i="8"/>
  <c r="J40" i="8"/>
  <c r="I40" i="8"/>
  <c r="V39" i="8"/>
  <c r="U39" i="8"/>
  <c r="T39" i="8"/>
  <c r="S39" i="8"/>
  <c r="Q39" i="8"/>
  <c r="P39" i="8"/>
  <c r="O39" i="8"/>
  <c r="N39" i="8"/>
  <c r="L39" i="8"/>
  <c r="K39" i="8"/>
  <c r="J39" i="8"/>
  <c r="I39" i="8"/>
  <c r="V37" i="8"/>
  <c r="U37" i="8"/>
  <c r="T37" i="8"/>
  <c r="S37" i="8"/>
  <c r="Q37" i="8"/>
  <c r="P37" i="8"/>
  <c r="O37" i="8"/>
  <c r="N37" i="8"/>
  <c r="L37" i="8"/>
  <c r="K37" i="8"/>
  <c r="J37" i="8"/>
  <c r="I37" i="8"/>
  <c r="V36" i="8"/>
  <c r="U36" i="8"/>
  <c r="T36" i="8"/>
  <c r="S36" i="8"/>
  <c r="Q36" i="8"/>
  <c r="P36" i="8"/>
  <c r="O36" i="8"/>
  <c r="N36" i="8"/>
  <c r="L36" i="8"/>
  <c r="K36" i="8"/>
  <c r="J36" i="8"/>
  <c r="I36" i="8"/>
  <c r="V35" i="8"/>
  <c r="U35" i="8"/>
  <c r="T35" i="8"/>
  <c r="S35" i="8"/>
  <c r="Q35" i="8"/>
  <c r="P35" i="8"/>
  <c r="O35" i="8"/>
  <c r="N35" i="8"/>
  <c r="L35" i="8"/>
  <c r="K35" i="8"/>
  <c r="J35" i="8"/>
  <c r="I35" i="8"/>
  <c r="V34" i="8"/>
  <c r="U34" i="8"/>
  <c r="T34" i="8"/>
  <c r="S34" i="8"/>
  <c r="Q34" i="8"/>
  <c r="P34" i="8"/>
  <c r="O34" i="8"/>
  <c r="N34" i="8"/>
  <c r="L34" i="8"/>
  <c r="K34" i="8"/>
  <c r="J34" i="8"/>
  <c r="I34" i="8"/>
  <c r="V32" i="8"/>
  <c r="U32" i="8"/>
  <c r="T32" i="8"/>
  <c r="S32" i="8"/>
  <c r="Q32" i="8"/>
  <c r="P32" i="8"/>
  <c r="O32" i="8"/>
  <c r="N32" i="8"/>
  <c r="L32" i="8"/>
  <c r="K32" i="8"/>
  <c r="J32" i="8"/>
  <c r="I32" i="8"/>
  <c r="V31" i="8"/>
  <c r="U31" i="8"/>
  <c r="T31" i="8"/>
  <c r="S31" i="8"/>
  <c r="Q31" i="8"/>
  <c r="P31" i="8"/>
  <c r="O31" i="8"/>
  <c r="N31" i="8"/>
  <c r="L31" i="8"/>
  <c r="K31" i="8"/>
  <c r="J31" i="8"/>
  <c r="I31" i="8"/>
  <c r="V30" i="8"/>
  <c r="U30" i="8"/>
  <c r="T30" i="8"/>
  <c r="S30" i="8"/>
  <c r="Q30" i="8"/>
  <c r="P30" i="8"/>
  <c r="O30" i="8"/>
  <c r="N30" i="8"/>
  <c r="L30" i="8"/>
  <c r="K30" i="8"/>
  <c r="J30" i="8"/>
  <c r="I30" i="8"/>
  <c r="V29" i="8"/>
  <c r="U29" i="8"/>
  <c r="T29" i="8"/>
  <c r="S29" i="8"/>
  <c r="Q29" i="8"/>
  <c r="P29" i="8"/>
  <c r="O29" i="8"/>
  <c r="N29" i="8"/>
  <c r="L29" i="8"/>
  <c r="K29" i="8"/>
  <c r="J29" i="8"/>
  <c r="I29" i="8"/>
  <c r="V27" i="8"/>
  <c r="U27" i="8"/>
  <c r="T27" i="8"/>
  <c r="S27" i="8"/>
  <c r="Q27" i="8"/>
  <c r="P27" i="8"/>
  <c r="O27" i="8"/>
  <c r="N27" i="8"/>
  <c r="L27" i="8"/>
  <c r="K27" i="8"/>
  <c r="J27" i="8"/>
  <c r="I27" i="8"/>
  <c r="V26" i="8"/>
  <c r="U26" i="8"/>
  <c r="T26" i="8"/>
  <c r="S26" i="8"/>
  <c r="Q26" i="8"/>
  <c r="P26" i="8"/>
  <c r="O26" i="8"/>
  <c r="N26" i="8"/>
  <c r="L26" i="8"/>
  <c r="K26" i="8"/>
  <c r="J26" i="8"/>
  <c r="I26" i="8"/>
  <c r="V25" i="8"/>
  <c r="U25" i="8"/>
  <c r="T25" i="8"/>
  <c r="S25" i="8"/>
  <c r="Q25" i="8"/>
  <c r="P25" i="8"/>
  <c r="O25" i="8"/>
  <c r="N25" i="8"/>
  <c r="L25" i="8"/>
  <c r="K25" i="8"/>
  <c r="J25" i="8"/>
  <c r="I25" i="8"/>
  <c r="V24" i="8"/>
  <c r="U24" i="8"/>
  <c r="T24" i="8"/>
  <c r="S24" i="8"/>
  <c r="Q24" i="8"/>
  <c r="P24" i="8"/>
  <c r="O24" i="8"/>
  <c r="N24" i="8"/>
  <c r="L24" i="8"/>
  <c r="K24" i="8"/>
  <c r="J24" i="8"/>
  <c r="I24" i="8"/>
  <c r="V22" i="8"/>
  <c r="U22" i="8"/>
  <c r="T22" i="8"/>
  <c r="S22" i="8"/>
  <c r="Q22" i="8"/>
  <c r="P22" i="8"/>
  <c r="O22" i="8"/>
  <c r="N22" i="8"/>
  <c r="K22" i="8"/>
  <c r="J22" i="8"/>
  <c r="I22" i="8"/>
  <c r="V21" i="8"/>
  <c r="U21" i="8"/>
  <c r="T21" i="8"/>
  <c r="S21" i="8"/>
  <c r="Q21" i="8"/>
  <c r="P21" i="8"/>
  <c r="O21" i="8"/>
  <c r="N21" i="8"/>
  <c r="L21" i="8"/>
  <c r="K21" i="8"/>
  <c r="J21" i="8"/>
  <c r="I21" i="8"/>
  <c r="V20" i="8"/>
  <c r="U20" i="8"/>
  <c r="T20" i="8"/>
  <c r="S20" i="8"/>
  <c r="Q20" i="8"/>
  <c r="P20" i="8"/>
  <c r="O20" i="8"/>
  <c r="N20" i="8"/>
  <c r="L20" i="8"/>
  <c r="K20" i="8"/>
  <c r="J20" i="8"/>
  <c r="I20" i="8"/>
  <c r="V19" i="8"/>
  <c r="U19" i="8"/>
  <c r="T19" i="8"/>
  <c r="S19" i="8"/>
  <c r="Q19" i="8"/>
  <c r="P19" i="8"/>
  <c r="O19" i="8"/>
  <c r="N19" i="8"/>
  <c r="L19" i="8"/>
  <c r="K19" i="8"/>
  <c r="J19" i="8"/>
  <c r="I19" i="8"/>
  <c r="V17" i="8"/>
  <c r="U17" i="8"/>
  <c r="T17" i="8"/>
  <c r="S17" i="8"/>
  <c r="Q17" i="8"/>
  <c r="P17" i="8"/>
  <c r="O17" i="8"/>
  <c r="N17" i="8"/>
  <c r="K17" i="8"/>
  <c r="J17" i="8"/>
  <c r="I17" i="8"/>
  <c r="V16" i="8"/>
  <c r="U16" i="8"/>
  <c r="T16" i="8"/>
  <c r="S16" i="8"/>
  <c r="Q16" i="8"/>
  <c r="P16" i="8"/>
  <c r="O16" i="8"/>
  <c r="N16" i="8"/>
  <c r="L16" i="8"/>
  <c r="K16" i="8"/>
  <c r="J16" i="8"/>
  <c r="I16" i="8"/>
  <c r="V15" i="8"/>
  <c r="U15" i="8"/>
  <c r="T15" i="8"/>
  <c r="S15" i="8"/>
  <c r="Q15" i="8"/>
  <c r="P15" i="8"/>
  <c r="O15" i="8"/>
  <c r="N15" i="8"/>
  <c r="L15" i="8"/>
  <c r="K15" i="8"/>
  <c r="J15" i="8"/>
  <c r="I15" i="8"/>
  <c r="V14" i="8"/>
  <c r="U14" i="8"/>
  <c r="T14" i="8"/>
  <c r="S14" i="8"/>
  <c r="Q14" i="8"/>
  <c r="P14" i="8"/>
  <c r="O14" i="8"/>
  <c r="N14" i="8"/>
  <c r="L14" i="8"/>
  <c r="K14" i="8"/>
  <c r="J14" i="8"/>
  <c r="I14" i="8"/>
  <c r="V13" i="8"/>
  <c r="U13" i="8"/>
  <c r="T13" i="8"/>
  <c r="S13" i="8"/>
  <c r="Q13" i="8"/>
  <c r="P13" i="8"/>
  <c r="O13" i="8"/>
  <c r="N13" i="8"/>
  <c r="L13" i="8"/>
  <c r="K13" i="8"/>
  <c r="J13" i="8"/>
  <c r="I13" i="8"/>
  <c r="V12" i="8"/>
  <c r="U12" i="8"/>
  <c r="T12" i="8"/>
  <c r="S12" i="8"/>
  <c r="Q12" i="8"/>
  <c r="P12" i="8"/>
  <c r="O12" i="8"/>
  <c r="N12" i="8"/>
  <c r="L12" i="8"/>
  <c r="K12" i="8"/>
  <c r="J12" i="8"/>
  <c r="I12" i="8"/>
  <c r="V11" i="8"/>
  <c r="U11" i="8"/>
  <c r="T11" i="8"/>
  <c r="S11" i="8"/>
  <c r="Q11" i="8"/>
  <c r="P11" i="8"/>
  <c r="O11" i="8"/>
  <c r="N11" i="8"/>
  <c r="L11" i="8"/>
  <c r="K11" i="8"/>
  <c r="J11" i="8"/>
  <c r="I11" i="8"/>
  <c r="G16" i="7"/>
  <c r="D20" i="7"/>
  <c r="E20" i="7"/>
  <c r="F20" i="7"/>
  <c r="G20" i="7"/>
  <c r="H20" i="7"/>
  <c r="I20" i="7"/>
  <c r="J20" i="7"/>
  <c r="K20" i="7"/>
  <c r="L20" i="7"/>
  <c r="D21" i="7"/>
  <c r="E21" i="7"/>
  <c r="F21" i="7"/>
  <c r="G21" i="7"/>
  <c r="H21" i="7"/>
  <c r="I21" i="7"/>
  <c r="J21" i="7"/>
  <c r="K21" i="7"/>
  <c r="L21" i="7"/>
  <c r="D22" i="7"/>
  <c r="E22" i="7"/>
  <c r="F22" i="7"/>
  <c r="G22" i="7"/>
  <c r="H22" i="7"/>
  <c r="I22" i="7"/>
  <c r="J22" i="7"/>
  <c r="K22" i="7"/>
  <c r="L22" i="7"/>
  <c r="E19" i="7"/>
  <c r="F19" i="7"/>
  <c r="G19" i="7"/>
  <c r="H19" i="7"/>
  <c r="I19" i="7"/>
  <c r="J19" i="7"/>
  <c r="K19" i="7"/>
  <c r="L19" i="7"/>
  <c r="D19" i="7"/>
  <c r="D15" i="7"/>
  <c r="E15" i="7"/>
  <c r="F15" i="7"/>
  <c r="G15" i="7"/>
  <c r="H15" i="7"/>
  <c r="I15" i="7"/>
  <c r="J15" i="7"/>
  <c r="K15" i="7"/>
  <c r="L15" i="7"/>
  <c r="D16" i="7"/>
  <c r="E16" i="7"/>
  <c r="F16" i="7"/>
  <c r="H16" i="7"/>
  <c r="I16" i="7"/>
  <c r="J16" i="7"/>
  <c r="K16" i="7"/>
  <c r="L16" i="7"/>
  <c r="D17" i="7"/>
  <c r="E17" i="7"/>
  <c r="F17" i="7"/>
  <c r="G17" i="7"/>
  <c r="H17" i="7"/>
  <c r="I17" i="7"/>
  <c r="J17" i="7"/>
  <c r="K17" i="7"/>
  <c r="L17" i="7"/>
  <c r="E14" i="7"/>
  <c r="F14" i="7"/>
  <c r="G14" i="7"/>
  <c r="H14" i="7"/>
  <c r="I14" i="7"/>
  <c r="J14" i="7"/>
  <c r="K14" i="7"/>
  <c r="L14" i="7"/>
  <c r="D14" i="7"/>
  <c r="D10" i="7"/>
  <c r="E10" i="7"/>
  <c r="F10" i="7"/>
  <c r="G10" i="7"/>
  <c r="H10" i="7"/>
  <c r="I10" i="7"/>
  <c r="J10" i="7"/>
  <c r="K10" i="7"/>
  <c r="L10" i="7"/>
  <c r="D11" i="7"/>
  <c r="E11" i="7"/>
  <c r="F11" i="7"/>
  <c r="G11" i="7"/>
  <c r="H11" i="7"/>
  <c r="I11" i="7"/>
  <c r="J11" i="7"/>
  <c r="K11" i="7"/>
  <c r="L11" i="7"/>
  <c r="D12" i="7"/>
  <c r="E12" i="7"/>
  <c r="F12" i="7"/>
  <c r="G12" i="7"/>
  <c r="H12" i="7"/>
  <c r="I12" i="7"/>
  <c r="J12" i="7"/>
  <c r="K12" i="7"/>
  <c r="L12" i="7"/>
  <c r="E9" i="7"/>
  <c r="F9" i="7"/>
  <c r="G9" i="7"/>
  <c r="H9" i="7"/>
  <c r="I9" i="7"/>
  <c r="J9" i="7"/>
  <c r="K9" i="7"/>
  <c r="L9" i="7"/>
  <c r="D9" i="7"/>
  <c r="D21" i="6"/>
  <c r="E21" i="6"/>
  <c r="F21" i="6"/>
  <c r="G21" i="6"/>
  <c r="H21" i="6"/>
  <c r="I21" i="6"/>
  <c r="J21" i="6"/>
  <c r="K21" i="6"/>
  <c r="L21" i="6"/>
  <c r="M21" i="6"/>
  <c r="N21" i="6"/>
  <c r="O21" i="6"/>
  <c r="P21" i="6"/>
  <c r="Q21" i="6"/>
  <c r="R21" i="6"/>
  <c r="S21" i="6"/>
  <c r="T21" i="6"/>
  <c r="U21" i="6"/>
  <c r="D22" i="6"/>
  <c r="E22" i="6"/>
  <c r="F22" i="6"/>
  <c r="G22" i="6"/>
  <c r="H22" i="6"/>
  <c r="I22" i="6"/>
  <c r="J22" i="6"/>
  <c r="K22" i="6"/>
  <c r="L22" i="6"/>
  <c r="M22" i="6"/>
  <c r="N22" i="6"/>
  <c r="O22" i="6"/>
  <c r="P22" i="6"/>
  <c r="Q22" i="6"/>
  <c r="R22" i="6"/>
  <c r="S22" i="6"/>
  <c r="T22" i="6"/>
  <c r="U22" i="6"/>
  <c r="D23" i="6"/>
  <c r="E23" i="6"/>
  <c r="F23" i="6"/>
  <c r="G23" i="6"/>
  <c r="H23" i="6"/>
  <c r="I23" i="6"/>
  <c r="J23" i="6"/>
  <c r="K23" i="6"/>
  <c r="L23" i="6"/>
  <c r="M23" i="6"/>
  <c r="N23" i="6"/>
  <c r="O23" i="6"/>
  <c r="P23" i="6"/>
  <c r="Q23" i="6"/>
  <c r="R23" i="6"/>
  <c r="S23" i="6"/>
  <c r="T23" i="6"/>
  <c r="U23" i="6"/>
  <c r="E20" i="6"/>
  <c r="F20" i="6"/>
  <c r="G20" i="6"/>
  <c r="H20" i="6"/>
  <c r="I20" i="6"/>
  <c r="J20" i="6"/>
  <c r="K20" i="6"/>
  <c r="L20" i="6"/>
  <c r="M20" i="6"/>
  <c r="N20" i="6"/>
  <c r="O20" i="6"/>
  <c r="P20" i="6"/>
  <c r="Q20" i="6"/>
  <c r="R20" i="6"/>
  <c r="S20" i="6"/>
  <c r="T20" i="6"/>
  <c r="U20" i="6"/>
  <c r="D20" i="6"/>
  <c r="D16" i="6"/>
  <c r="E16" i="6"/>
  <c r="F16" i="6"/>
  <c r="G16" i="6"/>
  <c r="H16" i="6"/>
  <c r="I16" i="6"/>
  <c r="J16" i="6"/>
  <c r="K16" i="6"/>
  <c r="L16" i="6"/>
  <c r="M16" i="6"/>
  <c r="N16" i="6"/>
  <c r="O16" i="6"/>
  <c r="P16" i="6"/>
  <c r="Q16" i="6"/>
  <c r="R16" i="6"/>
  <c r="S16" i="6"/>
  <c r="T16" i="6"/>
  <c r="U16" i="6"/>
  <c r="D17" i="6"/>
  <c r="E17" i="6"/>
  <c r="F17" i="6"/>
  <c r="G17" i="6"/>
  <c r="H17" i="6"/>
  <c r="I17" i="6"/>
  <c r="J17" i="6"/>
  <c r="K17" i="6"/>
  <c r="L17" i="6"/>
  <c r="M17" i="6"/>
  <c r="N17" i="6"/>
  <c r="O17" i="6"/>
  <c r="P17" i="6"/>
  <c r="Q17" i="6"/>
  <c r="R17" i="6"/>
  <c r="S17" i="6"/>
  <c r="T17" i="6"/>
  <c r="U17" i="6"/>
  <c r="D18" i="6"/>
  <c r="E18" i="6"/>
  <c r="F18" i="6"/>
  <c r="G18" i="6"/>
  <c r="H18" i="6"/>
  <c r="I18" i="6"/>
  <c r="J18" i="6"/>
  <c r="K18" i="6"/>
  <c r="L18" i="6"/>
  <c r="M18" i="6"/>
  <c r="N18" i="6"/>
  <c r="O18" i="6"/>
  <c r="P18" i="6"/>
  <c r="Q18" i="6"/>
  <c r="R18" i="6"/>
  <c r="S18" i="6"/>
  <c r="T18" i="6"/>
  <c r="U18" i="6"/>
  <c r="E15" i="6"/>
  <c r="F15" i="6"/>
  <c r="G15" i="6"/>
  <c r="H15" i="6"/>
  <c r="I15" i="6"/>
  <c r="J15" i="6"/>
  <c r="K15" i="6"/>
  <c r="L15" i="6"/>
  <c r="M15" i="6"/>
  <c r="N15" i="6"/>
  <c r="O15" i="6"/>
  <c r="P15" i="6"/>
  <c r="Q15" i="6"/>
  <c r="R15" i="6"/>
  <c r="S15" i="6"/>
  <c r="T15" i="6"/>
  <c r="U15" i="6"/>
  <c r="D15" i="6"/>
  <c r="D11" i="6"/>
  <c r="E11" i="6"/>
  <c r="F11" i="6"/>
  <c r="G11" i="6"/>
  <c r="H11" i="6"/>
  <c r="I11" i="6"/>
  <c r="J11" i="6"/>
  <c r="K11" i="6"/>
  <c r="L11" i="6"/>
  <c r="M11" i="6"/>
  <c r="N11" i="6"/>
  <c r="O11" i="6"/>
  <c r="P11" i="6"/>
  <c r="Q11" i="6"/>
  <c r="R11" i="6"/>
  <c r="S11" i="6"/>
  <c r="T11" i="6"/>
  <c r="U11" i="6"/>
  <c r="D12" i="6"/>
  <c r="E12" i="6"/>
  <c r="F12" i="6"/>
  <c r="G12" i="6"/>
  <c r="H12" i="6"/>
  <c r="I12" i="6"/>
  <c r="J12" i="6"/>
  <c r="K12" i="6"/>
  <c r="L12" i="6"/>
  <c r="M12" i="6"/>
  <c r="N12" i="6"/>
  <c r="O12" i="6"/>
  <c r="P12" i="6"/>
  <c r="Q12" i="6"/>
  <c r="R12" i="6"/>
  <c r="S12" i="6"/>
  <c r="T12" i="6"/>
  <c r="U12" i="6"/>
  <c r="D13" i="6"/>
  <c r="E13" i="6"/>
  <c r="F13" i="6"/>
  <c r="G13" i="6"/>
  <c r="H13" i="6"/>
  <c r="I13" i="6"/>
  <c r="J13" i="6"/>
  <c r="K13" i="6"/>
  <c r="L13" i="6"/>
  <c r="M13" i="6"/>
  <c r="N13" i="6"/>
  <c r="O13" i="6"/>
  <c r="P13" i="6"/>
  <c r="Q13" i="6"/>
  <c r="R13" i="6"/>
  <c r="S13" i="6"/>
  <c r="T13" i="6"/>
  <c r="U13" i="6"/>
  <c r="E10" i="6"/>
  <c r="F10" i="6"/>
  <c r="G10" i="6"/>
  <c r="H10" i="6"/>
  <c r="I10" i="6"/>
  <c r="J10" i="6"/>
  <c r="K10" i="6"/>
  <c r="L10" i="6"/>
  <c r="M10" i="6"/>
  <c r="N10" i="6"/>
  <c r="O10" i="6"/>
  <c r="P10" i="6"/>
  <c r="Q10" i="6"/>
  <c r="R10" i="6"/>
  <c r="S10" i="6"/>
  <c r="T10" i="6"/>
  <c r="U10" i="6"/>
  <c r="D10" i="6"/>
  <c r="AJ12" i="5"/>
  <c r="AS12" i="5"/>
  <c r="AP14" i="5"/>
  <c r="F24" i="5"/>
  <c r="G24" i="5"/>
  <c r="H24" i="5"/>
  <c r="I24" i="5"/>
  <c r="J24" i="5"/>
  <c r="K24" i="5"/>
  <c r="M24" i="5"/>
  <c r="N24" i="5"/>
  <c r="O24" i="5"/>
  <c r="P24" i="5"/>
  <c r="R24" i="5"/>
  <c r="S24" i="5"/>
  <c r="T24" i="5"/>
  <c r="U24" i="5"/>
  <c r="W24" i="5"/>
  <c r="X24" i="5"/>
  <c r="Y24" i="5"/>
  <c r="Z24" i="5"/>
  <c r="AB24" i="5"/>
  <c r="AC24" i="5"/>
  <c r="AD24" i="5"/>
  <c r="AE24" i="5"/>
  <c r="AG24" i="5"/>
  <c r="AH24" i="5"/>
  <c r="AI24" i="5"/>
  <c r="AJ24" i="5"/>
  <c r="AL24" i="5"/>
  <c r="AM24" i="5"/>
  <c r="AN24" i="5"/>
  <c r="AO24" i="5"/>
  <c r="AP24" i="5"/>
  <c r="AR24" i="5"/>
  <c r="AS24" i="5"/>
  <c r="AT24" i="5"/>
  <c r="F23" i="5"/>
  <c r="G23" i="5"/>
  <c r="H23" i="5"/>
  <c r="I23" i="5"/>
  <c r="J23" i="5"/>
  <c r="K23" i="5"/>
  <c r="M23" i="5"/>
  <c r="N23" i="5"/>
  <c r="O23" i="5"/>
  <c r="P23" i="5"/>
  <c r="R23" i="5"/>
  <c r="S23" i="5"/>
  <c r="T23" i="5"/>
  <c r="U23" i="5"/>
  <c r="W23" i="5"/>
  <c r="X23" i="5"/>
  <c r="Y23" i="5"/>
  <c r="Z23" i="5"/>
  <c r="AB23" i="5"/>
  <c r="AC23" i="5"/>
  <c r="AD23" i="5"/>
  <c r="AE23" i="5"/>
  <c r="AG23" i="5"/>
  <c r="AH23" i="5"/>
  <c r="AI23" i="5"/>
  <c r="AJ23" i="5"/>
  <c r="AL23" i="5"/>
  <c r="AM23" i="5"/>
  <c r="AN23" i="5"/>
  <c r="AO23" i="5"/>
  <c r="AP23" i="5"/>
  <c r="AR23" i="5"/>
  <c r="AS23" i="5"/>
  <c r="AT23" i="5"/>
  <c r="F22" i="5"/>
  <c r="G22" i="5"/>
  <c r="H22" i="5"/>
  <c r="I22" i="5"/>
  <c r="J22" i="5"/>
  <c r="K22" i="5"/>
  <c r="M22" i="5"/>
  <c r="N22" i="5"/>
  <c r="O22" i="5"/>
  <c r="P22" i="5"/>
  <c r="R22" i="5"/>
  <c r="S22" i="5"/>
  <c r="T22" i="5"/>
  <c r="U22" i="5"/>
  <c r="W22" i="5"/>
  <c r="X22" i="5"/>
  <c r="Y22" i="5"/>
  <c r="Z22" i="5"/>
  <c r="AB22" i="5"/>
  <c r="AC22" i="5"/>
  <c r="AD22" i="5"/>
  <c r="AE22" i="5"/>
  <c r="AG22" i="5"/>
  <c r="AH22" i="5"/>
  <c r="AI22" i="5"/>
  <c r="AJ22" i="5"/>
  <c r="AL22" i="5"/>
  <c r="AM22" i="5"/>
  <c r="AN22" i="5"/>
  <c r="AO22" i="5"/>
  <c r="AP22" i="5"/>
  <c r="AR22" i="5"/>
  <c r="AS22" i="5"/>
  <c r="AT22" i="5"/>
  <c r="F21" i="5"/>
  <c r="G21" i="5"/>
  <c r="H21" i="5"/>
  <c r="I21" i="5"/>
  <c r="J21" i="5"/>
  <c r="K21" i="5"/>
  <c r="M21" i="5"/>
  <c r="N21" i="5"/>
  <c r="O21" i="5"/>
  <c r="P21" i="5"/>
  <c r="R21" i="5"/>
  <c r="S21" i="5"/>
  <c r="T21" i="5"/>
  <c r="U21" i="5"/>
  <c r="W21" i="5"/>
  <c r="X21" i="5"/>
  <c r="Y21" i="5"/>
  <c r="Z21" i="5"/>
  <c r="AB21" i="5"/>
  <c r="AC21" i="5"/>
  <c r="AD21" i="5"/>
  <c r="AE21" i="5"/>
  <c r="AG21" i="5"/>
  <c r="AH21" i="5"/>
  <c r="AI21" i="5"/>
  <c r="AJ21" i="5"/>
  <c r="AL21" i="5"/>
  <c r="AM21" i="5"/>
  <c r="AN21" i="5"/>
  <c r="AO21" i="5"/>
  <c r="AP21" i="5"/>
  <c r="AR21" i="5"/>
  <c r="AS21" i="5"/>
  <c r="AT21" i="5"/>
  <c r="F19" i="5"/>
  <c r="G19" i="5"/>
  <c r="H19" i="5"/>
  <c r="I19" i="5"/>
  <c r="J19" i="5"/>
  <c r="K19" i="5"/>
  <c r="M19" i="5"/>
  <c r="N19" i="5"/>
  <c r="O19" i="5"/>
  <c r="P19" i="5"/>
  <c r="R19" i="5"/>
  <c r="S19" i="5"/>
  <c r="T19" i="5"/>
  <c r="U19" i="5"/>
  <c r="W19" i="5"/>
  <c r="X19" i="5"/>
  <c r="Y19" i="5"/>
  <c r="Z19" i="5"/>
  <c r="AB19" i="5"/>
  <c r="AC19" i="5"/>
  <c r="AD19" i="5"/>
  <c r="AE19" i="5"/>
  <c r="AG19" i="5"/>
  <c r="AH19" i="5"/>
  <c r="AI19" i="5"/>
  <c r="AJ19" i="5"/>
  <c r="AL19" i="5"/>
  <c r="AM19" i="5"/>
  <c r="AN19" i="5"/>
  <c r="AO19" i="5"/>
  <c r="AP19" i="5"/>
  <c r="AR19" i="5"/>
  <c r="AS19" i="5"/>
  <c r="AT19" i="5"/>
  <c r="F18" i="5"/>
  <c r="G18" i="5"/>
  <c r="H18" i="5"/>
  <c r="I18" i="5"/>
  <c r="J18" i="5"/>
  <c r="K18" i="5"/>
  <c r="M18" i="5"/>
  <c r="N18" i="5"/>
  <c r="O18" i="5"/>
  <c r="P18" i="5"/>
  <c r="R18" i="5"/>
  <c r="S18" i="5"/>
  <c r="T18" i="5"/>
  <c r="U18" i="5"/>
  <c r="W18" i="5"/>
  <c r="X18" i="5"/>
  <c r="Y18" i="5"/>
  <c r="Z18" i="5"/>
  <c r="AB18" i="5"/>
  <c r="AC18" i="5"/>
  <c r="AD18" i="5"/>
  <c r="AE18" i="5"/>
  <c r="AG18" i="5"/>
  <c r="AH18" i="5"/>
  <c r="AI18" i="5"/>
  <c r="AJ18" i="5"/>
  <c r="AL18" i="5"/>
  <c r="AM18" i="5"/>
  <c r="AN18" i="5"/>
  <c r="AO18" i="5"/>
  <c r="AP18" i="5"/>
  <c r="AR18" i="5"/>
  <c r="AS18" i="5"/>
  <c r="AT18" i="5"/>
  <c r="F17" i="5"/>
  <c r="G17" i="5"/>
  <c r="H17" i="5"/>
  <c r="I17" i="5"/>
  <c r="J17" i="5"/>
  <c r="K17" i="5"/>
  <c r="M17" i="5"/>
  <c r="N17" i="5"/>
  <c r="O17" i="5"/>
  <c r="P17" i="5"/>
  <c r="R17" i="5"/>
  <c r="S17" i="5"/>
  <c r="T17" i="5"/>
  <c r="U17" i="5"/>
  <c r="W17" i="5"/>
  <c r="X17" i="5"/>
  <c r="Y17" i="5"/>
  <c r="Z17" i="5"/>
  <c r="AB17" i="5"/>
  <c r="AC17" i="5"/>
  <c r="AD17" i="5"/>
  <c r="AE17" i="5"/>
  <c r="AG17" i="5"/>
  <c r="AH17" i="5"/>
  <c r="AI17" i="5"/>
  <c r="AJ17" i="5"/>
  <c r="AL17" i="5"/>
  <c r="AM17" i="5"/>
  <c r="AN17" i="5"/>
  <c r="AO17" i="5"/>
  <c r="AP17" i="5"/>
  <c r="AR17" i="5"/>
  <c r="AS17" i="5"/>
  <c r="AT17" i="5"/>
  <c r="F16" i="5"/>
  <c r="G16" i="5"/>
  <c r="H16" i="5"/>
  <c r="I16" i="5"/>
  <c r="J16" i="5"/>
  <c r="K16" i="5"/>
  <c r="M16" i="5"/>
  <c r="N16" i="5"/>
  <c r="O16" i="5"/>
  <c r="P16" i="5"/>
  <c r="R16" i="5"/>
  <c r="S16" i="5"/>
  <c r="T16" i="5"/>
  <c r="U16" i="5"/>
  <c r="W16" i="5"/>
  <c r="X16" i="5"/>
  <c r="Y16" i="5"/>
  <c r="Z16" i="5"/>
  <c r="AB16" i="5"/>
  <c r="AC16" i="5"/>
  <c r="AD16" i="5"/>
  <c r="AE16" i="5"/>
  <c r="AG16" i="5"/>
  <c r="AH16" i="5"/>
  <c r="AI16" i="5"/>
  <c r="AJ16" i="5"/>
  <c r="AL16" i="5"/>
  <c r="AM16" i="5"/>
  <c r="AN16" i="5"/>
  <c r="AO16" i="5"/>
  <c r="AP16" i="5"/>
  <c r="AR16" i="5"/>
  <c r="AS16" i="5"/>
  <c r="AT16" i="5"/>
  <c r="F14" i="5"/>
  <c r="G14" i="5"/>
  <c r="H14" i="5"/>
  <c r="I14" i="5"/>
  <c r="J14" i="5"/>
  <c r="K14" i="5"/>
  <c r="M14" i="5"/>
  <c r="N14" i="5"/>
  <c r="O14" i="5"/>
  <c r="P14" i="5"/>
  <c r="R14" i="5"/>
  <c r="S14" i="5"/>
  <c r="T14" i="5"/>
  <c r="U14" i="5"/>
  <c r="W14" i="5"/>
  <c r="X14" i="5"/>
  <c r="Y14" i="5"/>
  <c r="Z14" i="5"/>
  <c r="AB14" i="5"/>
  <c r="AC14" i="5"/>
  <c r="AD14" i="5"/>
  <c r="AE14" i="5"/>
  <c r="AG14" i="5"/>
  <c r="AH14" i="5"/>
  <c r="AI14" i="5"/>
  <c r="AJ14" i="5"/>
  <c r="AL14" i="5"/>
  <c r="AM14" i="5"/>
  <c r="AN14" i="5"/>
  <c r="AO14" i="5"/>
  <c r="AR14" i="5"/>
  <c r="AS14" i="5"/>
  <c r="AT14" i="5"/>
  <c r="F13" i="5"/>
  <c r="G13" i="5"/>
  <c r="H13" i="5"/>
  <c r="I13" i="5"/>
  <c r="J13" i="5"/>
  <c r="K13" i="5"/>
  <c r="M13" i="5"/>
  <c r="N13" i="5"/>
  <c r="O13" i="5"/>
  <c r="P13" i="5"/>
  <c r="R13" i="5"/>
  <c r="S13" i="5"/>
  <c r="T13" i="5"/>
  <c r="U13" i="5"/>
  <c r="W13" i="5"/>
  <c r="X13" i="5"/>
  <c r="Y13" i="5"/>
  <c r="Z13" i="5"/>
  <c r="AB13" i="5"/>
  <c r="AC13" i="5"/>
  <c r="AD13" i="5"/>
  <c r="AE13" i="5"/>
  <c r="AG13" i="5"/>
  <c r="AH13" i="5"/>
  <c r="AI13" i="5"/>
  <c r="AJ13" i="5"/>
  <c r="AL13" i="5"/>
  <c r="AM13" i="5"/>
  <c r="AN13" i="5"/>
  <c r="AO13" i="5"/>
  <c r="AP13" i="5"/>
  <c r="AR13" i="5"/>
  <c r="AS13" i="5"/>
  <c r="AT13" i="5"/>
  <c r="F12" i="5"/>
  <c r="G12" i="5"/>
  <c r="H12" i="5"/>
  <c r="I12" i="5"/>
  <c r="J12" i="5"/>
  <c r="K12" i="5"/>
  <c r="M12" i="5"/>
  <c r="N12" i="5"/>
  <c r="O12" i="5"/>
  <c r="P12" i="5"/>
  <c r="R12" i="5"/>
  <c r="S12" i="5"/>
  <c r="T12" i="5"/>
  <c r="U12" i="5"/>
  <c r="W12" i="5"/>
  <c r="X12" i="5"/>
  <c r="Y12" i="5"/>
  <c r="Z12" i="5"/>
  <c r="AB12" i="5"/>
  <c r="AC12" i="5"/>
  <c r="AD12" i="5"/>
  <c r="AE12" i="5"/>
  <c r="AG12" i="5"/>
  <c r="AH12" i="5"/>
  <c r="AI12" i="5"/>
  <c r="AL12" i="5"/>
  <c r="AM12" i="5"/>
  <c r="AN12" i="5"/>
  <c r="AO12" i="5"/>
  <c r="AP12" i="5"/>
  <c r="AR12" i="5"/>
  <c r="AT12" i="5"/>
  <c r="E12" i="5"/>
  <c r="E13" i="5"/>
  <c r="E14" i="5"/>
  <c r="E16" i="5"/>
  <c r="E17" i="5"/>
  <c r="E18" i="5"/>
  <c r="E19" i="5"/>
  <c r="E21" i="5"/>
  <c r="E22" i="5"/>
  <c r="E23" i="5"/>
  <c r="E24" i="5"/>
  <c r="F11" i="5"/>
  <c r="G11" i="5"/>
  <c r="H11" i="5"/>
  <c r="I11" i="5"/>
  <c r="J11" i="5"/>
  <c r="K11" i="5"/>
  <c r="M11" i="5"/>
  <c r="N11" i="5"/>
  <c r="O11" i="5"/>
  <c r="P11" i="5"/>
  <c r="R11" i="5"/>
  <c r="S11" i="5"/>
  <c r="T11" i="5"/>
  <c r="U11" i="5"/>
  <c r="W11" i="5"/>
  <c r="X11" i="5"/>
  <c r="Y11" i="5"/>
  <c r="Z11" i="5"/>
  <c r="AB11" i="5"/>
  <c r="AC11" i="5"/>
  <c r="AD11" i="5"/>
  <c r="AE11" i="5"/>
  <c r="AG11" i="5"/>
  <c r="AH11" i="5"/>
  <c r="AI11" i="5"/>
  <c r="AJ11" i="5"/>
  <c r="AL11" i="5"/>
  <c r="AM11" i="5"/>
  <c r="AN11" i="5"/>
  <c r="AO11" i="5"/>
  <c r="AP11" i="5"/>
  <c r="AR11" i="5"/>
  <c r="AS11" i="5"/>
  <c r="AT11" i="5"/>
  <c r="E11" i="5"/>
</calcChain>
</file>

<file path=xl/sharedStrings.xml><?xml version="1.0" encoding="utf-8"?>
<sst xmlns="http://schemas.openxmlformats.org/spreadsheetml/2006/main" count="1703" uniqueCount="398">
  <si>
    <t>Year</t>
  </si>
  <si>
    <t>Authors/Institution</t>
  </si>
  <si>
    <t>Metrics</t>
  </si>
  <si>
    <t>Granularity</t>
  </si>
  <si>
    <t>Measurement level and attribution</t>
  </si>
  <si>
    <t>Methodology and accuracy</t>
  </si>
  <si>
    <t>Repeatability</t>
  </si>
  <si>
    <t>Invasiveness and usability</t>
  </si>
  <si>
    <t>Containers</t>
  </si>
  <si>
    <t>Execution environment support</t>
  </si>
  <si>
    <t>Maturity and ecosystem</t>
  </si>
  <si>
    <t>References</t>
  </si>
  <si>
    <t>Scientific grounding (yes or no)</t>
  </si>
  <si>
    <t>Insufficient documentation</t>
  </si>
  <si>
    <t>Purely theoretical models</t>
  </si>
  <si>
    <t>Inclusion Status</t>
  </si>
  <si>
    <t>Tool Name</t>
  </si>
  <si>
    <t>Discovery Method</t>
  </si>
  <si>
    <t>Discovered From</t>
  </si>
  <si>
    <t>Selection Status</t>
  </si>
  <si>
    <t>Exclusion Reason</t>
  </si>
  <si>
    <t>Short Description</t>
  </si>
  <si>
    <t>Measurement Targets</t>
  </si>
  <si>
    <t>Green Metric Tool</t>
  </si>
  <si>
    <t>Green Coding Solutions</t>
  </si>
  <si>
    <t>Seeds (prior use in peer-reviewed academic publications)</t>
  </si>
  <si>
    <t>Selected</t>
  </si>
  <si>
    <t>Kepler</t>
  </si>
  <si>
    <t>Scaphandre</t>
  </si>
  <si>
    <t>Centofanti, Carlo, José Santos, Venkateswarlu Gudepu, and Koteswararao Kondepu. 2024. ‘Impact of Power Consumption in Containerized Clouds: A Comprehensive Analysis of Open-Source Power Measurement Tools’. Computer Networks 245 (May): 110371. https://doi.org/10.1016/j.comnet.2024.110371.</t>
  </si>
  <si>
    <t>Red Hat / IBM Reasearch / Intel</t>
  </si>
  <si>
    <t>na</t>
  </si>
  <si>
    <t>Kepler is a tool to collect fine‑grained energy and power metrics (e.g., CPU energy, memory, power usage) by monitoring containers, pods, and nodes in Kubernetes via eBPF, RAPL, cgroups and exporting them as Prometheus metrics, with support for multiple metric sources and attribution to workloads.</t>
  </si>
  <si>
    <t>websitecarbon.com</t>
  </si>
  <si>
    <t>RAPL</t>
  </si>
  <si>
    <t>PowerGadget</t>
  </si>
  <si>
    <t>Android Runner</t>
  </si>
  <si>
    <t>IgProf</t>
  </si>
  <si>
    <t>jRAPL</t>
  </si>
  <si>
    <t>Trepn</t>
  </si>
  <si>
    <t>BitWatts</t>
  </si>
  <si>
    <t>GreenOracle</t>
  </si>
  <si>
    <t>Jolinar</t>
  </si>
  <si>
    <t>PETRA</t>
  </si>
  <si>
    <t>PowerJoular</t>
  </si>
  <si>
    <t>e-Surgeon</t>
  </si>
  <si>
    <t>Noureddine, Adel, Romain Rouvoy, and Lionel Seinturier. 2015. ‘Monitoring Energy Hotspots in Software’. Automated Software Engineering 22 (3): 291–332. https://doi.org/10.1007/s10515-014-0171-1.
Noureddine, Adel, Aurélien Bourdon, Romain Rouvoy, and Lionel Seinturier. 2012. E-Surgeon: Diagnosing Energy Leaks of Application Servers. Technical Report RR-7846. INRIA. https://inria.hal.science/hal-00652992.</t>
  </si>
  <si>
    <t>Hoffmann, Geerd-Dietger, and Verena Majuntke. 2025. ‘Green Metrics Tool: Measuring for Fun and Profit’. arXiv:2506.23967. Preprint, arXiv, June 30. https://doi.org/10.48550/arXiv.2506.23967.
Kayembe, Jason, Iness Ben Guirat, and Jan Tobias Mühlberg. 2025. ‘Exploring Privacy and Security as Drivers for Environmental Sustainability in Cloud-Based Office Solutions’. arXiv:2506.23866. Preprint, arXiv, July 4. https://doi.org/10.48550/arXiv.2506.23866.</t>
  </si>
  <si>
    <t>Centofanti, Carlo, José Santos, Venkateswarlu Gudepu, and Koteswararao Kondepu. 2024. ‘Impact of Power Consumption in Containerized Clouds: A Comprehensive Analysis of Open-Source Power Measurement Tools’. Computer Networks 245 (May): 110371. https://doi.org/10.1016/j.comnet.2024.110371.
Amaral, Marcelo, Huamin Chen, Tatsuhiro Chiba, et al. 2023. ‘Kepler: A Framework to Calculate the Energy Consumption of Containerized Applications’. 2023 IEEE 16th International Conference on Cloud Computing (CLOUD), July, 69–71. https://doi.org/10.1109/CLOUD60044.2023.00017.
Bellal, Zouhir, Laaziz Lahlou, Nadjia Kara, et al. n.d. Investigating the Potential of Kepler Towards Power Observability for Sustainable Cloud Computing. Accessed 10 February 2026. https://www.authorea.com/doi/full/10.36227/techrxiv.175825680.03395162?co</t>
  </si>
  <si>
    <t>Seeds (Keywords Search)</t>
  </si>
  <si>
    <t>Manual keyword
 search on Google Scholar :
 "Software energy monitoring"</t>
  </si>
  <si>
    <t>yes</t>
  </si>
  <si>
    <t>CPU</t>
  </si>
  <si>
    <t>DRAM</t>
  </si>
  <si>
    <t>GPU</t>
  </si>
  <si>
    <t>Display</t>
  </si>
  <si>
    <t>✗</t>
  </si>
  <si>
    <t>CO2e</t>
  </si>
  <si>
    <t>ARM</t>
  </si>
  <si>
    <t>Intel</t>
  </si>
  <si>
    <t>Target Devices</t>
  </si>
  <si>
    <t>Supported ISA</t>
  </si>
  <si>
    <t>x86</t>
  </si>
  <si>
    <t>RISC-V</t>
  </si>
  <si>
    <t>Server</t>
  </si>
  <si>
    <t>Temporal 
resolution</t>
  </si>
  <si>
    <t>Measurement 
approach</t>
  </si>
  <si>
    <t>Accuracy 
validation</t>
  </si>
  <si>
    <t>Code 
modification</t>
  </si>
  <si>
    <t>Runtime 
overhead</t>
  </si>
  <si>
    <t>Deployment 
complexity</t>
  </si>
  <si>
    <t>Virtual 
machines</t>
  </si>
  <si>
    <t>Kubernetes 
integration</t>
  </si>
  <si>
    <t>Multi-tenancy 
awareness</t>
  </si>
  <si>
    <t>Cloud provider 
compatibility</t>
  </si>
  <si>
    <t>Availability 
and licensing</t>
  </si>
  <si>
    <t>Maintenance 
status</t>
  </si>
  <si>
    <t>Documentation 
quality</t>
  </si>
  <si>
    <t>Community 
adoption</t>
  </si>
  <si>
    <t>Embedded 
System</t>
  </si>
  <si>
    <t>Mobile 
Device</t>
  </si>
  <si>
    <t>Desktop/
Laptop</t>
  </si>
  <si>
    <t>Power/
Energy</t>
  </si>
  <si>
    <t>Network 
I/O</t>
  </si>
  <si>
    <t>External
Power Meter</t>
  </si>
  <si>
    <t>Hardware-Exposed
Energy Interface</t>
  </si>
  <si>
    <t>Model
-based</t>
  </si>
  <si>
    <t>The GMT is a tool allowing to collect system-level metrics such as (e.g., CPU_Energy, Network_IO, …)  through pluggable "metric providers" (e.g. RAPL reader, external power meter, ...) and to allocate them to software by running those in containers and monitoring cgroup activity.</t>
  </si>
  <si>
    <t>e-Surgeon is a software-based energy profiling framework that estimates fine-grained (method-level) power consumption of Java applications at runtime. It combines operating-system-level hardware monitoring (PowerAPI) with either bytecode instrumentation or statistical sampling (Jalen), using analytical and empirical power models to estimate application energy consumption without relying on external power meters.</t>
  </si>
  <si>
    <t>Khan, Kashif Nizam, Mikael Hirki, Tapio Niemi, Jukka K. Nurminen, and Zhonghong Ou. 2018. ‘RAPL in Action: Experiences in Using RAPL for Power Measurements’. ACM Trans. Model. Perform. Eval. Comput. Syst. 3 (2): 9:1-9:26. https://doi.org/10.1145/3177754.
Chekushkin, Artem, Vitaly Egunov, Alla G. Kravets, and Pavel Kravchenya. 2026. ‘Software Methods for Energy Consumption Evaluation’. In Frontiers of Industrial Cyber-Physics, edited by Alla G. Kravets, Alexander A. Bolshakov, and Maxim V. Shcherbakov. Springer Nature Switzerland. https://doi.org/10.1007/978-3-032-02717-7_8.</t>
  </si>
  <si>
    <t>Noureddine, Adel, Romain Rouvoy, and Lionel Seinturier.</t>
  </si>
  <si>
    <t xml:space="preserve"> (Centofanti et al. 2024)</t>
  </si>
  <si>
    <t>Backward Snawballing</t>
  </si>
  <si>
    <t>Case Studies</t>
  </si>
  <si>
    <t>Stress-Terminal UI</t>
  </si>
  <si>
    <t>RAPL (Running Average Power Limit) is a hardware-level energy monitoring and power-controlling interface introduced by Intel for its processors. It exposes energy consumption estimates via Model-Specific Registers (MSRs), allowing software to read energy usage for specific hardware domains.</t>
  </si>
  <si>
    <t>Guégain, Édouard, Rémy Raes, Noé Chachignot, Clément Quinton, and Romain Rouvoy. 2025. ‘AndroWatts: Unpacking the Power Consumption of Mobile Device’s Components’. 2025 IEEE/ACM 12th International Conference on Mobile Software Engineering and Systems (MOBILESoft), April, 71–81. https://doi.org/10.1109/MOBILESoft66462.2025.00015.</t>
  </si>
  <si>
    <t>Andro Watts</t>
  </si>
  <si>
    <t>Guégain, Édouard, Rémy Raes, Noé Chachignot, Clément Quinton, and Romain Rouvoy.</t>
  </si>
  <si>
    <t>Not Selected</t>
  </si>
  <si>
    <t>no</t>
  </si>
  <si>
    <t>No software-level attribution</t>
  </si>
  <si>
    <t>Container-level attribution
Application-level (if containerised)</t>
  </si>
  <si>
    <t>Disk
I/O</t>
  </si>
  <si>
    <t>✗ (RAPL)</t>
  </si>
  <si>
    <t>✗(If provided as system input)</t>
  </si>
  <si>
    <t>No</t>
  </si>
  <si>
    <t>Baseline Modeled and Calibration 
requirements</t>
  </si>
  <si>
    <t>Baseline modeled and 
allocated to container 
according to CPU % utilisation</t>
  </si>
  <si>
    <t>Network
(NIC)</t>
  </si>
  <si>
    <t>Storage
(Disk)</t>
  </si>
  <si>
    <t>Depends on Metric Provider in Use</t>
  </si>
  <si>
    <t>Active (Last Commit in Feb 2026)</t>
  </si>
  <si>
    <t>Open-Source</t>
  </si>
  <si>
    <t>✗ (Linux Targeted)</t>
  </si>
  <si>
    <t>✗ (Linux System)</t>
  </si>
  <si>
    <t>Few Metric Providers
with limited Accuracy</t>
  </si>
  <si>
    <t>https://aknostic.com/keit/</t>
  </si>
  <si>
    <t>???</t>
  </si>
  <si>
    <t>Allows periodic checks of
the standard deviations of
 measurments through their
 "measurement cluster".</t>
  </si>
  <si>
    <t>✗(Used for container allocation
or system-level estimations in virtualised
context )</t>
  </si>
  <si>
    <t>no (Doc says "in development" https://docs.green-coding.io/)</t>
  </si>
  <si>
    <t>Hoffmann, Geerd-Dietger, and Verena Majuntke. 2025. ‘Green Metrics Tool: Measuring for Fun and Profit’. arXiv:2506.23967. Preprint, arXiv, June 30. https://doi.org/10.48550/arXiv.2506.23967.
Kayembe, Jason, Iness Ben Guirat, and Jan Tobias Mühlberg. 2025. ‘Exploring Privacy and Security as Drivers for Environmental Sustainability in Cloud-Based Office Solutions’. arXiv:2506.23866. Preprint, arXiv, July 4. https://doi.org/10.48550/arXiv.2506.23866.</t>
  </si>
  <si>
    <t>Relative to metric providers : 
For RAPL which is extensively used by the GMT : https://www.green-coding.io/case-studies/rapl-and-sgx/</t>
  </si>
  <si>
    <t>System</t>
  </si>
  <si>
    <t>✗(RAPL)</t>
  </si>
  <si>
    <t>✗(NVLM)</t>
  </si>
  <si>
    <t>Designed for developers to integrate SCI in dev
Used in a few academic researches</t>
  </si>
  <si>
    <t>Limited support but some
model-based metric providers
allow to account for virtualisation level (e.g. PSU Energy - AC - XGBoost - Machine)</t>
  </si>
  <si>
    <t>~ms
Configurable for each metric provider
(1ms for RAPL metric provider)</t>
  </si>
  <si>
    <t>~ms at RAPL read level
Effective resolution = Prometheus scrape interval
(typically 1s–30s depending on configuration)</t>
  </si>
  <si>
    <t>✗ (RAPL, NVLM, IPMI)</t>
  </si>
  <si>
    <t>Modeled and allocated
according to processes size</t>
  </si>
  <si>
    <t>✗(IPMI, ACPI, 
Regression-based 
trained power models)</t>
  </si>
  <si>
    <t>Reported MSE of 0.01 in (Amaral et al. 2023)</t>
  </si>
  <si>
    <t>Attribution based on Hardware Counters
in (Bare-Metal deployment version)
e.g., CPU instruction, cache misses, Streaming Multiprocessor utilisation
System-level Energy estimated through Regression-based 
trained power models for VM deployment</t>
  </si>
  <si>
    <t>Extensive Documentation
(https://docs.green-coding.io/)</t>
  </si>
  <si>
    <t>Node Level (BM/VM)
Pod-Level
Container-Level
Process-level</t>
  </si>
  <si>
    <t>Extensive Documentation
(https://sustainable-computing.io/)</t>
  </si>
  <si>
    <t>Designed for edge/cloud/
 K8s Operators</t>
  </si>
  <si>
    <t>Runs as DaemonSet on each node
Linux-based nodes required</t>
  </si>
  <si>
    <t>Designed to be low (uses containers).
GMT allows to estimate it
through a special script : calibrate.py</t>
  </si>
  <si>
    <t>Python App +
Redis DB +
Web-based API &amp; Front-end for data analysis
Hosted Service (paid)</t>
  </si>
  <si>
    <t>System-level Energy estimated through Regression-based 
trained power models for VM deployment</t>
  </si>
  <si>
    <t>Aware of resource sharing at node-level
At hypervisor-level : not currently but (CNCF 2023) mentions a planned "passthrough" mode for VM deployment which could enable this</t>
  </si>
  <si>
    <t>no
(AWS EKS, GKE, Azure AKS do not expose RAPL)</t>
  </si>
  <si>
    <t>Open-Source (CNCF Sandbox project)</t>
  </si>
  <si>
    <t>Active (Last Commit in March 2026)</t>
  </si>
  <si>
    <t>Class Level
 Method Level</t>
  </si>
  <si>
    <t>✗ (Linux System/Windows)</t>
  </si>
  <si>
    <t>Support for VM "exposing System-level metrics from host to VM"</t>
  </si>
  <si>
    <t>no : "No, until your cloud provider uses scaphandre on its hypervisors"</t>
  </si>
  <si>
    <t>SoftWatt</t>
  </si>
  <si>
    <t>from Li, Tao, and Lizy Kurian John. 2003. ‘Run-Time Modeling and Estimation of Operating System Power Consumption’. Proceedings of the 2003 ACM SIGMETRICS International Conference on Measurement and Modeling of Computer Systems (New York, NY, USA), SIGMETRICS ’03, 160–71. https://doi.org/10.1145/781027.781048.</t>
  </si>
  <si>
    <t>PowerScope</t>
  </si>
  <si>
    <t>from Noureddine, Adel, Romain Rouvoy, and Lionel Seinturier. 2013. ‘A Review of Energy Measurement Approaches’. SIGOPS Oper. Syst. Rev. 47 (3): 42–49. https://doi.org/10.1145/2553070.2553077.</t>
  </si>
  <si>
    <t>pTop</t>
  </si>
  <si>
    <t>PowerTop</t>
  </si>
  <si>
    <t>Energy Checker</t>
  </si>
  <si>
    <t>Joulemeter</t>
  </si>
  <si>
    <t>Hubblo-org</t>
  </si>
  <si>
    <t>Scaphandre is an open-source energy monitoring agent developed by Hubblo. It uses Intel RAPL to measure CPU (and optionally DRAM) energy at the system level and attributes it to processes or containers based on CPU usage. It runs as a lightweight daemon and exports metrics to Prometheus, enabling integration in cloud and container environments. Accuracy is high at system level but limited for fine-grained attribution.</t>
  </si>
  <si>
    <t>Stress Terminal UI (s-tui) is an open-source monitoring tool that provides real-time visualisation of system performance and power-related metrics. It reads data from hardware interfaces such as Intel RAPL and system sensors to display CPU usage, frequency, temperature, and estimated power consumption. Designed as a terminal-based interface, it is mainly used for local monitoring and stress testing on Linux systems rather than fine-grained software energy attribution.</t>
  </si>
  <si>
    <t>Alex Manos</t>
  </si>
  <si>
    <t>(Wysocki et al. 2025)</t>
  </si>
  <si>
    <t>Kenan Liu</t>
  </si>
  <si>
    <t>Target device is a smartphone. The authors use supervised learning to  train models (linear, nn, random forest, …) to estimate (i) system-level energy (ii) component-level shares of enregy i.e. CPU, display, WIFi, Memory,… Both based on component-related metrics (e.g. display brightness, CPU frequency,...)
. The framework involves the creation of a dataset: create scenarios putting the device under a random workload. Then collect features i.e. component-related metrics, and ODPM power rails values as target variables. 
The study shows Gradient boosting trees estimate best (i).
Linear regression is used to estimate (ii):
CPU/Memory, GPU, Display energy consumption are successfully estimated while CPU/Memory block has highest accuracy (absolute error ~7%)
 Under that case study, the authors show they need at least 500 runs (capping the dataset size) to have a stable R-squared</t>
  </si>
  <si>
    <t>jRAPL is a Java library that allows to profile the energy consumption of parts of program code by relying on RAPL. 
To use it, the developer just needs to put API calls (statCheck) before and after a code block. The energy consumption is then computed as the difference between the two readings. It can also report time metrics (wall-clock, user, kernel time) and some low-level counters, which can be useful for analysis.
It allows a fine-grained attribution, both in terms of hardware components (RAPL usual granularity) and program structure (methods, code blocks…). Also, since the measurement is directly embedded in the code, there is no need to synchronise measurement and execution, which is usually a pain with external setups.
It is not completely free: accessing MSRs introduces a small overhead (microseconds), even if in practice it remains quite low compared to execution time.
Overall, jRAPL can be seen as a hardware-based energy metering approach, with relatively low overhead and good granularity, but at the cost of some code instrumentation. (Liu et al. 2015)</t>
  </si>
  <si>
    <t>e-Surgeon (= Jalen + PowerAPI)</t>
  </si>
  <si>
    <t>Khan, Kashif, Filip Nybäck, Zhonghong Ou, et al. 2015. Energy Profiling Using IgProf. In Proceedings - 2015 IEEE/ACM 15th International Symposium on Cluster, Cloud, and Grid Computing, CCGrid 2015. https://doi.org/10.1109/CCGrid.2015.118.</t>
  </si>
  <si>
    <t>Liu, Kenan, Gustavo Pinto, and Yu David Liu. 2015. ‘Data-Oriented Characterization of Application-Level Energy Optimization’. In Fundamental Approaches to Software Engineering, edited by Alexander Egyed and Ina Schaefer. Springer. https://doi.org/10.1007/978-3-662-46675-9_21.</t>
  </si>
  <si>
    <t>Noureddine, Adel. (2021) 2022. ‘PowerJoular and JoularJX: Multi-Platform Software Power Monitoring Tools’. In Proceedings of the 18th International Conference on Intelligent Environments, Ada. Intelligent Environments. March 22; IEEE, released. https://doi.org/10.1109/IE54923.2022.9826760.</t>
  </si>
  <si>
    <t>SmartWatts</t>
  </si>
  <si>
    <t>from Raffin, Guillaume, and Denis Trystram. 2024. ‘Dissecting the Software-Based Measurement of CPU Energy Consumption: A Comparative Analysis’. arXiv:2401.15985. Preprint, arXiv, July 19. https://doi.org/10.48550/arXiv.2401.15985.
Guillaume Fieni, Romain Rouvoy, and Lionel Seinturier. “SmartWatts: self-calibrating software-defined power meter for containers”. en. In: 2020 20th IEEE/ACM International Symposium on Cluster, Cloud and Internet Computing (CCGRID). Melbourne, Australia: IEEE, May 2020, pp. 479–488. ISBN: 978-172816-095-5. DOI: 10 . 1109 / CCGrid49817 . 2020 . 00 45.</t>
  </si>
  <si>
    <t>from Raffin, Guillaume, and Denis Trystram. 2024. ‘Dissecting the Software-Based Measurement of CPU Energy Consumption: A Comparative Analysis’. arXiv:2401.15985. Preprint, arXiv, July 19. https://doi.org/10.48550/arXiv.2401.15985.
Franz Christian Heinrich et al. “Predicting the energyconsumption of MPI applications at scale using only a single node”. In: 2017 IEEE International Conference on Cluster Computing (CLUSTER). Sept. 2017, pp. 92102. DOI: 10.1109/CLUSTER.2017.66.</t>
  </si>
  <si>
    <t>Code-Carbon</t>
  </si>
  <si>
    <t>from  Raffin, Guillaume, and Denis Trystram. 2024. ‘Dissecting the Software-Based Measurement of CPU Energy Consumption: A Comparative Analysis’. arXiv:2401.15985. Preprint, arXiv, July 19. https://doi.org/10.48550/arXiv.2401.15985.
Victor Schmidt et al. “CodeCarbon: estimate and track carbon emissions from machine learning computing”. In: Zenodo (2021).</t>
  </si>
  <si>
    <t>Likwid</t>
  </si>
  <si>
    <t>from   Raffin, Guillaume, and Denis Trystram. 2024. ‘Dissecting the Software-Based Measurement of CPU Energy Consumption: A Comparative Analysis’. arXiv:2401.15985. Preprint, arXiv, July 19. https://doi.org/10.48550/arXiv.2401.15985.
J. Treibig, G. Hager, and G. Wellein. “LIKWID: a lightweight performance-oriented tool suite for x86 multicore environments”. In: Proceedings of PSTI2010, the First International Workshop on Parallel Software Tools and Tool Infrastructures. San Diego CA, 2010.</t>
  </si>
  <si>
    <t>1Hz (Max 28Hz If modified as in (Raffin and Trystram 2024))</t>
  </si>
  <si>
    <t>~Monitoring Cycle of 1s mentioned in (Noureddine et al. 2012)</t>
  </si>
  <si>
    <t>Model-based (TDP)</t>
  </si>
  <si>
    <t>Reported in (Noureddine et al. 2012; (Noureddine et al. 2015))</t>
  </si>
  <si>
    <t>Two methods available: 
1) Statistical Sampling of Call Stack --&gt; No Code Modification
2) Source Code Instrumentation (i.e. time markers around functions)</t>
  </si>
  <si>
    <t>Noureddine, Adel</t>
  </si>
  <si>
    <t>Lassi Tuura, Giulio, Mikko Kurkela and Filip Nybäck</t>
  </si>
  <si>
    <t>IgProf is originally an application profiler developed at CERN to analyse performance and memory behaviour of programs, and was later extended with an energy profiling module. This module enables the attribution of energy consumption within a program, typically at the level of functions.
The approach relies on statistical sampling. IgProf is injected into the target application as a shared library at startup, allowing it to operate entirely within the same process address space. It performs statistical sampling using interval timers and signal handlers, which execute in the context of the application thread. At each sampling point, the profiler captures the current call stack and associates it with energy measurements obtained via RAPL (through PAPI), enabling in-process attribution of energy consumption to functions.. This allows building energy profiles in the same way as traditional performance profiles (e.g., flat profiles (cumulated energy offunction and called sub-function) or call graphs)
One advantage is that IgProf operates entirely in user space and does not require recompilation of the application. This makes it relatively non-intrusive compared to instrumentation-based approaches. It can also handle dynamically loaded libraries, which is useful in complex software stacks.
In terms of granularity, the tool provides fine-grained attribution at function level, but this is based on sampling and indirect attribution rather than exact measurement. As a result, short-lived code sections (shorter than the RAPL update interval, ~1 ms) may not be measured accurately, and multi-threaded scenarios introduce additional challenges in attributing energy correctly. (Khan et al. 2015)   
Overall, IgProf can be seen as a sampling-based, hardware-informed energy profiling approach. It offers good integration with performance profiling and low intrusiveness, but with limitations in accuracy for short events and complex concurrent workloads.</t>
  </si>
  <si>
    <t>IgProf (Energy module)</t>
  </si>
  <si>
    <t>Function Level</t>
  </si>
  <si>
    <t xml:space="preserve">~5ms sampling interval in (Khan et al. 2015) </t>
  </si>
  <si>
    <t>Attribution 
Mechanism</t>
  </si>
  <si>
    <t>Container Isolation : Accesses cgroups to learn about how resources are shared.</t>
  </si>
  <si>
    <t>Khan, Kashif, Filip Nybäck, Zhonghong Ou, et al. 2015. Energy Profiling Using IgProf. In Proceedings - 2015 IEEE/ACM 15th International Symposium on Cluster, Cloud, and Grid Computing, CCGrid 2015. https://doi.org/10.1109/CCGrid.2015.118.
G. Eulisse, L. Tuura: IgProf profiling tool, Proc. Computing In High Energy And Nuclear Physics (CHEP 2004), Interlaken, Switzerland, 2004</t>
  </si>
  <si>
    <t>1) Allocate all RAPL system energy to process it is attached to
2) Statistical Sampling (stack trace) to allocate energy to functions</t>
  </si>
  <si>
    <t>1) Uses OS provided per-process (PID)resources utilisation to allocate energy to process (JVM)
2a)A version with statistical sampling to allocate energy to methods/classes
2b) A version with automatic bytecode instrumentation to attribute energy to methods/classes</t>
  </si>
  <si>
    <t xml:space="preserve">Not modeled </t>
  </si>
  <si>
    <t>trained model for system-level estimations in virtualised
contex</t>
  </si>
  <si>
    <t>✗ (RAPL throush powercap)</t>
  </si>
  <si>
    <t>Qualitatively Reported in (Khan et al. 2015)</t>
  </si>
  <si>
    <t>Not reported for Energy module</t>
  </si>
  <si>
    <t>Runs as an attached library to the profiled process</t>
  </si>
  <si>
    <t>Limited to not existing for the energy module
(https://igprof.org/index.html)</t>
  </si>
  <si>
    <t>✗(specific models)</t>
  </si>
  <si>
    <t>✗(CPU energy on specific models)</t>
  </si>
  <si>
    <t>✗ (RAPL throush PAPI)</t>
  </si>
  <si>
    <t>Command line tool, export to csv</t>
  </si>
  <si>
    <t>Joular Core</t>
  </si>
  <si>
    <t>Support for VM "exposing System-level metrics in a shared file from host to VM"</t>
  </si>
  <si>
    <t>Yes if provided by host</t>
  </si>
  <si>
    <t>Not maintained since 2024</t>
  </si>
  <si>
    <t>For Rasberry Pi</t>
  </si>
  <si>
    <t>Application Level (All its PIDs)
Process level (PID)</t>
  </si>
  <si>
    <t>PowerJoular/JoularJX</t>
  </si>
  <si>
    <t>`PowerJoular/JoularJX</t>
  </si>
  <si>
    <t>JoularJX</t>
  </si>
  <si>
    <t>Mostly statistical sampling --&gt; no code modification</t>
  </si>
  <si>
    <t>✗(NVIDIA SMI) (computers and servers</t>
  </si>
  <si>
    <t>PowerJoular is aimed to software developers, system administrators and to automated tools, with a goal to help these users understand the power consumption of their devices and software (Noureddine [2021] 2022)</t>
  </si>
  <si>
    <t xml:space="preserve">btw 0.3% and 3.83% on RaspberryPie (Noureddine [2021] 2022)
</t>
  </si>
  <si>
    <t xml:space="preserve">~10ms
</t>
  </si>
  <si>
    <t>~1s</t>
  </si>
  <si>
    <t xml:space="preserve">1) Allocation through Processes CPU utilization
</t>
  </si>
  <si>
    <t>1) Allocation through CPU utilization for Java Threads (1s)
2) Statistical sampling of thread stack trace(10ms)</t>
  </si>
  <si>
    <t>PowerJoular monitors the power consumption of CPU and GPU for PCs, servers and single-board computers (such as Raspberry Pi).
JoularJX uses the power data provided by PowerJoular to monitor the power consumption of methods and source code in Java applications.
These tools extend the strategies used for former PowerAPI/eJalen : runtime estimation are now possible</t>
  </si>
  <si>
    <t>Support for Container "exposing System-level metrics in a shared file from host to VM"</t>
  </si>
  <si>
    <t>Active (Last Commit in 2026)</t>
  </si>
  <si>
    <t>Not reported but supposed to be low (1s sampling rate + written in Ada (low carbon language(Noureddine [2021] 2022)))</t>
  </si>
  <si>
    <t>Not reported</t>
  </si>
  <si>
    <t>no:  statistical sampling</t>
  </si>
  <si>
    <t>Forward Snawballing</t>
  </si>
  <si>
    <t>(Noureddine [2021] 2022)</t>
  </si>
  <si>
    <t>Concice documentation : https://joular.github.io/powerjoular/overview.html</t>
  </si>
  <si>
    <t>Designed for software Developers</t>
  </si>
  <si>
    <t>Power Core is aimed to software developers, system administrators and to automated tools, with a goal to help these users understand the power consumption of their devices and software (Noureddine [2021] 2022)</t>
  </si>
  <si>
    <t>Extension of PowerJoular to MacOs and Windows in a cross-platform implementation written in Rust.
Joular Core is designed to be embedded in larger workflows. It exposes power data through multiple channels — terminal, CSV files, a shared-memory ring buffer, and an HTTP/WebSocket API — so it can feed into whatever downstream system you are working with. Also add a GUI for live monitoring</t>
  </si>
  <si>
    <t>✗ (RAPL (linux/windows) or powerMetrics (Mac))</t>
  </si>
  <si>
    <t>polynomial regression For Rasberry Pi</t>
  </si>
  <si>
    <t>Baseline modeled and 
substracted before allocation</t>
  </si>
  <si>
    <t>Command line tool or Gui</t>
  </si>
  <si>
    <t>MacSilicon</t>
  </si>
  <si>
    <t>no reported</t>
  </si>
  <si>
    <t>Active (Last Commit 2026)</t>
  </si>
  <si>
    <t>Concice documentation : https://joular.github.io/joularcore/</t>
  </si>
  <si>
    <t>e-Surgeon
(PowerAPI+eJalen)</t>
  </si>
  <si>
    <t>Method-Level</t>
  </si>
  <si>
    <t>~ms</t>
  </si>
  <si>
    <t>OS signals + power profiles</t>
  </si>
  <si>
    <t>Time-based allocation (knows exactly entry/exit events of method)</t>
  </si>
  <si>
    <t>Mean relative error: ~1% overall</t>
  </si>
  <si>
    <t>Needs to run app in debug mode to access method traces</t>
  </si>
  <si>
    <t>Measurement Sources</t>
  </si>
  <si>
    <t>Pod-Level</t>
  </si>
  <si>
    <t>Container-Level</t>
  </si>
  <si>
    <t>Process-Level</t>
  </si>
  <si>
    <t>Thread-Level</t>
  </si>
  <si>
    <t>Code Section-Level
(i.e. class, method)</t>
  </si>
  <si>
    <t>e-Surgeon
(PowerAPI)</t>
  </si>
  <si>
    <t>e-Surgeon
(eJalen)</t>
  </si>
  <si>
    <t>Statistical Sampling</t>
  </si>
  <si>
    <t>✗(1) Allocate all RAPL system energy to process it is attached to
2) Statistical Sampling (stack trace) to allocate energy to functions)</t>
  </si>
  <si>
    <t>Call stack sampling</t>
  </si>
  <si>
    <t>✗(for threads)</t>
  </si>
  <si>
    <t>Operational Constraints</t>
  </si>
  <si>
    <t>✗(SCI functionnality)</t>
  </si>
  <si>
    <t>Privilege</t>
  </si>
  <si>
    <t>✗ (Automatic : Byte Code Instrumentation version )</t>
  </si>
  <si>
    <t xml:space="preserve">~10ms (code section)
~1s (thread)
</t>
  </si>
  <si>
    <t>Uses PowerJoular</t>
  </si>
  <si>
    <t>Virtualised environment support</t>
  </si>
  <si>
    <t>Pretrained Model</t>
  </si>
  <si>
    <t>Delegated to another tool</t>
  </si>
  <si>
    <t>Network (NIC)</t>
  </si>
  <si>
    <t>✗(Through PowerAPI)</t>
  </si>
  <si>
    <t>✗(RAPL PSYS Domain)</t>
  </si>
  <si>
    <t>✗(NVIDIA SMI) (computers and servers through Power Joular</t>
  </si>
  <si>
    <t>PID CPU %</t>
  </si>
  <si>
    <t>✗(RAPL) Through Power Joular</t>
  </si>
  <si>
    <t>Extra Metrics</t>
  </si>
  <si>
    <t>✗(IPMI, ACPI)</t>
  </si>
  <si>
    <t>Regression-based 
trained power model</t>
  </si>
  <si>
    <t>OS provided per-process (PID)Network I/O</t>
  </si>
  <si>
    <t>✗(TDP)</t>
  </si>
  <si>
    <t>✗ (TDP) Through PowerAPI</t>
  </si>
  <si>
    <t>Application-Level
(Sum of PIDs)</t>
  </si>
  <si>
    <t>Virtual Machine-Level</t>
  </si>
  <si>
    <t>✗(Compatible with certain Metric Providers)</t>
  </si>
  <si>
    <t xml:space="preserve">NVLM-provided (i.e. driver) per-process SM utilization </t>
  </si>
  <si>
    <t>Single Board Computer
(e.g. Rasperry Pi)</t>
  </si>
  <si>
    <t>✗(NVIDIA-SMI, AMD-SMI) (computers and servers)</t>
  </si>
  <si>
    <t>BaselineModelling and Calibration</t>
  </si>
  <si>
    <t>Two instances :
host exposing VM-level metrics to guest  through shared file</t>
  </si>
  <si>
    <t>✗(Manual : For SCI)</t>
  </si>
  <si>
    <t>Run as Root
Installs RAPL Kernel Module</t>
  </si>
  <si>
    <t>User Mode:
Queries RAPL through PAPI</t>
  </si>
  <si>
    <t xml:space="preserve"> getInputStream()  getOutputStream() calls</t>
  </si>
  <si>
    <t>✗ (For NIC)</t>
  </si>
  <si>
    <t>✗(for CPU : call-stack sampling version)</t>
  </si>
  <si>
    <t>✗ (for CPU : bytecode instrumentation version)</t>
  </si>
  <si>
    <t>Run as Root
Use Powercap for RAPL access</t>
  </si>
  <si>
    <t>Apple Silicon</t>
  </si>
  <si>
    <t>Specific Language</t>
  </si>
  <si>
    <t>Java</t>
  </si>
  <si>
    <t>Power Watts</t>
  </si>
  <si>
    <t xml:space="preserve">✗ Linear Regression Model (HPC : "instructions", "cache references", "cache misses" </t>
  </si>
  <si>
    <t>Green Kube</t>
  </si>
  <si>
    <t>Platform Compatibility</t>
  </si>
  <si>
    <t>Software Activity Share Proxy</t>
  </si>
  <si>
    <t>Hardware-Level Energy Estimation</t>
  </si>
  <si>
    <t>Allocation Model</t>
  </si>
  <si>
    <t>Directly proportional to Proxy</t>
  </si>
  <si>
    <t>Proxy Reconstruction</t>
  </si>
  <si>
    <t>Proxy for Hardware Activity Share of Software</t>
  </si>
  <si>
    <t>Kepler     ≤ v0.9</t>
  </si>
  <si>
    <t>Kepler     ≥ 0.10</t>
  </si>
  <si>
    <t>eBPF data collected every 3s.</t>
  </si>
  <si>
    <t>Activity Share Estimation</t>
  </si>
  <si>
    <t>✗ (RAPL through powercap)</t>
  </si>
  <si>
    <t>Time Markers</t>
  </si>
  <si>
    <t>✗ (RAPL through linux  MSR kernel module)</t>
  </si>
  <si>
    <t>Execution Time Markers</t>
  </si>
  <si>
    <t>~1ms</t>
  </si>
  <si>
    <t>"Run as Root
Installs RAPL Kernel Module"</t>
  </si>
  <si>
    <t>✗(Manual)</t>
  </si>
  <si>
    <t xml:space="preserve">Java Library to load from  any Java source code. Developer just needs to put API calls (statCheck) before and after a code block. The energy consumption is  the difference between the two readings </t>
  </si>
  <si>
    <t>Not maintained since 2018</t>
  </si>
  <si>
    <t>Limited</t>
  </si>
  <si>
    <t>Designed for software Developements</t>
  </si>
  <si>
    <t>✗ (from HPC vector  (cycles, instructions, cache misses))</t>
  </si>
  <si>
    <t>Modeled and allocated
proportionnaly to processes size</t>
  </si>
  <si>
    <t>Linux</t>
  </si>
  <si>
    <t>Windows</t>
  </si>
  <si>
    <t>MacOS</t>
  </si>
  <si>
    <t>OS</t>
  </si>
  <si>
    <t>Call stack</t>
  </si>
  <si>
    <t>1) Time Markers : JVM byte code  instrumentation /
2) Call stack</t>
  </si>
  <si>
    <t>PID GPU % (from driver API)</t>
  </si>
  <si>
    <t>✗  HPC     (cycles, instructions, cache misses) vector</t>
  </si>
  <si>
    <t>Baseline Modelling and Calibration</t>
  </si>
  <si>
    <t>Code Section-Level</t>
  </si>
  <si>
    <t>Modeled and 
substracted before allocation</t>
  </si>
  <si>
    <t>✗Regression-based models for VM deployment</t>
  </si>
  <si>
    <t>✗Regression-based 
 models for VM deployment</t>
  </si>
  <si>
    <t>✗HPC vector (cycles, instructions, cache misses)</t>
  </si>
  <si>
    <t>OS-provided PID CPU %
Cgroups Stat</t>
  </si>
  <si>
    <t>PID runtime + HPC vector (cycles, instructions, cache misses) through eBPF tracing</t>
  </si>
  <si>
    <t>OS-provided PID CPU %
Cgroups Stat (container)
Code Special Print (Code Section)</t>
  </si>
  <si>
    <t>OS-provided PID CPU %</t>
  </si>
  <si>
    <t>1) OS-provided PID CPU %  for Java Threads through JVM instrumentation
2) Call Stack</t>
  </si>
  <si>
    <t>1) OS-provided PID CPU % for Java Threads through JVM instrumentation
2) Statistical sampling of thread stack trace</t>
  </si>
  <si>
    <t>Modeled and 
allocated to container 
according to OS-provided PID CPU %</t>
  </si>
  <si>
    <t xml:space="preserve">✗1) XGBoost model (TDP, Machine Specs and CPU%)
2) Analytical Model(TDP, #CPUchips and CPU %) </t>
  </si>
  <si>
    <t>Regression-based model</t>
  </si>
  <si>
    <t>no
( (CNCF 2023) mentions a planned "passthrough" mode for VM deployment which expose VM energy in a shared file.</t>
  </si>
  <si>
    <t>OS-provided PID CPU %
Cgroups Stat</t>
  </si>
  <si>
    <t>no :
Not reported but supposed to be low (1s sampling rate + written in Ada (low carbon language(Noureddine [2021] 2022)))</t>
  </si>
  <si>
    <t>380% : Reported in (Noureddine et al. 2012; (Noureddine et al. 2015))</t>
  </si>
  <si>
    <t>Seeds (Extensively used in scientific litterature and a primitive for other tools such as GMT Kepler,…</t>
  </si>
  <si>
    <t>Software energy profiling (yes or no)</t>
  </si>
  <si>
    <t>Representative execution environments (yes or no)</t>
  </si>
  <si>
    <t>1.79% Reported in (Noureddine et al. 2012; (Noureddine et al. 2015))</t>
  </si>
  <si>
    <t>Mobile-only platforms</t>
  </si>
  <si>
    <t>No software-level attribution
Smartphone only platforms</t>
  </si>
  <si>
    <t>OS-provided PID CPU %
Cgroups Stat
Code Special Print (Code Section)</t>
  </si>
  <si>
    <t>OS-provided PID CPU %
Cgroups Stat (Container)
Code Special Print (Code Section)</t>
  </si>
  <si>
    <t>Model-based</t>
  </si>
  <si>
    <t>Keple ≥ 0.10</t>
  </si>
  <si>
    <t>Kepler ≤ v0.9</t>
  </si>
  <si>
    <t>Profiler</t>
  </si>
  <si>
    <t>Intel(r) Power Gadget is a software utility and library, which allows developers to monitor power at very fine time granularities (few tens of milliseconds). Power monitoring is available for the following power domains:
per package domain (CPU socket)
per core domain (all the cpu cores on a package)
per uncore domain (uncore components, e.g. integrated graphics, client parts only)
per memory node (memory local to a package, server parts only) To do this, the tool uses an architected capability in Intel(r) processors which is called RAPL (Runtime Average Power Limiting). RAPL is available on Intel(r) codename Sandy Bridge and later processors.</t>
  </si>
  <si>
    <t>Ivano Malavolta, Eoin Martino Grua, Cheng-Yu Lam, Randy de Vries, Franky Tan, EricZielinski, Michael Peters, Luuk Kaandorp</t>
  </si>
  <si>
    <t>Wysocki, Włodzimierz, Ireneusz Miciuła, and Przemysław Plecka. 2025. ‘Methods of Improving Software Energy Efficiency: A Systematic Literature Review and the Current State of Applied Methods in Practice’. Electronics 14 (7): 1331. https://doi.org/10.3390/electronics14071331.</t>
  </si>
  <si>
    <t>Wysocki, Włodzimierz, Ireneusz Miciuła, and Przemysław Plecka. 2025. ‘Methods of Improving Software Energy Efficiency: A Systematic Literature Review and the Current State of Applied Methods in Practice’. Electronics 14 (7): 1331. https://doi.org/10.3390/electronics14071331.
Malavolta, Ivano, Eoin Martino Grua, Cheng-Yu Lam, et al. 2021. ‘A Framework for the Automatic Execution of Measurement-Based Experiments on Android Devices’. Proceedings of the 35th IEEE/ACM International Conference on Automated Software Engineering (New York, NY, USA), ASE ’20, January 22, 61–66. https://doi.org/10.1145/3417113.3422184.</t>
  </si>
  <si>
    <t>Android Runner (AR), a framework for automatically executing measurement-based experiments on native and web apps running on Android devices. In AR, an experiment is defined once in a descriptive fashion, and then its execution is fully automatic, customizable, and replicable. AR is implemented in Python and it can be extended with third-party profilers.</t>
  </si>
  <si>
    <t>Trepn Profiler is a device power modeling and performance measurement tool to estimate the energy of the device, components, and smartphone applications.</t>
  </si>
  <si>
    <t>Wysocki, Włodzimierz, Ireneusz Miciuła, and Przemysław Plecka. 2025. ‘Methods of Improving Software Energy Efficiency: A Systematic Literature Review and the Current State of Applied Methods in Practice’. Electronics 14 (7): 1331. https://doi.org/10.3390/electronics14071331.
Ahmad, Raja Wasim, Siti Hafizah Ab Hamid, Abdullah Gani, et al. 2018. ‘Performance Assessment of Dynamic Analysis Based Energy Estimation Tools’. 2018 International Symposium on Performance Evaluation of Computer and Telecommunication Systems (SPECTS), July, 1–12. https://doi.org/10.1109/SPECTS.2018.8574182.</t>
  </si>
  <si>
    <t>Maxime Colmant, Mascha Kurpicz,  Pascal Felber,  Loïc Huertas,  Romain Rouvoy,  Anita Sobe</t>
  </si>
  <si>
    <t>Mobile-only platforms
 insufficient documentation</t>
  </si>
  <si>
    <t>Regression model (# cores and OS-provided Resource Utilisation metrics as input)</t>
  </si>
  <si>
    <t xml:space="preserve">1) XGBoost model (# cores TDP, Machine Specs and CPU%)
2) Analytical Model(TDP, #CPUchips and CPU %) </t>
  </si>
  <si>
    <t>✗Polynomial regression based on per-PID-and-per-core-HPCs (unhalted cycles + reference cycles) and CPU frequency</t>
  </si>
  <si>
    <t>10hz</t>
  </si>
  <si>
    <t>BitWatts (PowerAPI extension)</t>
  </si>
  <si>
    <t>Reported average of 5.4W (Colmant et al. 2015)</t>
  </si>
  <si>
    <t>Reported 2% median error (Colmant et al. 2015)</t>
  </si>
  <si>
    <t>Wysocki, Włodzimierz, Ireneusz Miciuła, and Przemysław Plecka. 2025. ‘Methods of Improving Software Energy Efficiency: A Systematic Literature Review and the Current State of Applied Methods in Practice’. Electronics 14 (7): 1331. https://doi.org/10.3390/electronics14071331.
Colmant, Maxime, Mascha Kurpicz, Pascal Felber, Loïc Huertas, Romain Rouvoy, and Anita Sobe. 2015. ‘Process-Level Power Estimation in VM-Based Systems’. Proceedings of the Tenth European Conference on Computer Systems (New York, NY, USA), EuroSys ’15, 1–14. https://doi.org/10.1145/2741948.2741971.
Colmant, Maxime, Mascha Kurpicz, Pascal Felber, Loïc Huertas, Romain Rouvoy, and Anita Sobe. 2014. ‘BitWatts: A Process-Level Power Monitoring Middleware’. Proceedings of the Posters and Demos Session of the 15th International Middleware Conference (New York, NY, USA), Middleware Posters and Demos ’14, 41–42. https://doi.org/10.1145/2678508.2678529.</t>
  </si>
  <si>
    <t>BITWATTS, an extension of PowerAPI, is a software-defined power meter that supports virtualised environments through two instances: one on the host, which estimates VM power, and one in the guest, which receives this value via a VirtioSerial channel and attributes it to guest processes. Its power source is a processor-aware multivariate regression model based on HPCs, notably unhalted CPU cycles, and CPU frequency. It provides process-level attribution and accounts for multi-core execution, Hyper-Threading, SpeedStep/DVFS, and Turbo Boost.
The tool can report at up to 40 Hz with PowerSpy or 10 Hz with libpfm4, although experiments generally use 1 Hz. It was evaluated on Intel Core i3-2120 and Xeon W3520 systems using KVM/QEMU.</t>
  </si>
  <si>
    <t>Wysocki, Włodzimierz, Ireneusz Miciuła, and Przemysław Plecka. 2025. ‘Methods of Improving Software Energy Efficiency: A Systematic Literature Review and the Current State of Applied Methods in Practice’. Electronics 14 (7): 1331. https://doi.org/10.3390/electronics14071331.
Chowdhury, Shaiful Alam, and Abram Hindle. 2016. ‘GreenOracle: Estimating Software Energy Consumption with Energy Measurement Corpora’. Proceedings of the 13th International Conference on Mining Software Repositories (New York, NY, USA), MSR ’16, 49–60. https://doi.org/10.1145/2901739.2901763.</t>
  </si>
  <si>
    <t>Shaiful Alam Chowdhury, Abram Hindle</t>
  </si>
  <si>
    <t>GreenOracle is primarily a mobile application energy prediction model, so it falls outside our survey scope. It estimates the total energy of an Android application test run from system-call counts, CPU utilisation, and other /proc-based resource metrics. The energy model is trained on measurements from many other applications using ridge regression, making it a pretrained, cross-application model that does not require direct energy measurement of the application under test.</t>
  </si>
  <si>
    <t>Mobile-only platforms and no software-level attribution</t>
  </si>
  <si>
    <t>Wysocki, Włodzimierz, Ireneusz Miciuła, and Przemysław Plecka. 2025. ‘Methods of Improving Software Energy Efficiency: A Systematic Literature Review and the Current State of Applied Methods in Practice’. Electronics 14 (7): 1331. https://doi.org/10.3390/electronics14071331.
Noureddine, Adel, Syed Islam, and Rabih Bashroush. 2016. ‘Jolinar: Analysing the Energy Footprint of Software Applications (Demo)’. Proceedings of the 25th International Symposium on Software Testing and Analysis, July 18, 445–48. https://doi.org/10.1145/2931037.2948706.</t>
  </si>
  <si>
    <t>Adel Noureddine, Syed Islam, Rabih Bashroush</t>
  </si>
  <si>
    <t>Deprecated</t>
  </si>
  <si>
    <t>Jolinar is a lightweight GNU/Linux application-level energy monitoring tool built on top of PowerAPI. It estimates application energy from OS-provided resource utilisation and hardware specifications, using models for CPU, disk and memory; the CPU model accounts for DVFS and real-time frequency/voltage changes. It monitors one application at a time, limited to one process per application, with a temporal resolution of 500 ms.</t>
  </si>
  <si>
    <t>PETrA is a software-based energy profiling tool specifically designed for Android applications. It estimates energy at method level, combining Android system information on component states (CPU, Wi-Fi, GPS, etc.) and voltage with a device power profile; method energy is reconstructed from the time intervals during which the method executes.</t>
  </si>
  <si>
    <t>Noureddine, Adel, Romain Rouvoy, and Lionel Seinturier. 2013. ‘A Review of Energy Measurement Approaches’. SIGOPS Oper. Syst. Rev. 47 (3): 42–49. https://doi.org/10.1145/2553070.2553077.
PowerScope: A Tool for Profiling the Energy Usage of Mobileapplications’. n.d. ResearchGate. https://doi.org/10.1109/MCSA.1999.749272.</t>
  </si>
  <si>
    <t>Jason Flinn and M. Satyanarayanan</t>
  </si>
  <si>
    <t>PowerScope is historically interesting because its architecture explicitly separates data collection from energy-profile generation. A dedicated second computer controls the external multimeter and collects the power samples, while the profiling computer only performs lightweight system-activity sampling. The collected data are then processed offline, so the energy-analysis stage introduces no profiling overhead.
It also provides an interesting early form of hardware-specific attribution: in (Flinn and Satyanarayanan 1999) samples occurring during asynchronous interrupts are not attributed to the currently executing process, but to a dedicated interrupt bucket. For example, WaveLAN interrupts are separately accounted for, allowing network-related energy to be distinguished from the process that happened to be executing. This is particularly noteworthy in our study because, so far, PowerScope is the only tool we have identified that explicitly allocates energy associated with hardware interrupts to a specific hardware component/activity.
Nevertheless, we exclude it from the classification because of its age, its reliance on NetBSD kernel modifications and a uniprocessor architecture, and the lack of a currently available tool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</si>
</sst>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b/>
      <sz val="11"/>
      <color theme="1"/>
      <name val="Calibri"/>
      <family val="2"/>
      <scheme val="minor"/>
    </font>
    <font>
      <b/>
      <sz val="18"/>
      <color theme="1"/>
      <name val="Calibri"/>
      <family val="2"/>
      <scheme val="minor"/>
    </font>
    <font>
      <b/>
      <sz val="14"/>
      <color theme="1"/>
      <name val="Calibri"/>
      <family val="2"/>
      <scheme val="minor"/>
    </font>
    <font>
      <u/>
      <sz val="11"/>
      <color theme="10"/>
      <name val="Calibri"/>
      <family val="2"/>
      <scheme val="minor"/>
    </font>
    <font>
      <u/>
      <sz val="11"/>
      <color theme="3" tint="0.39997558519241921"/>
      <name val="Calibri"/>
      <family val="2"/>
      <scheme val="minor"/>
    </font>
    <font>
      <b/>
      <sz val="11"/>
      <color rgb="FF000000"/>
      <name val="Calibri"/>
      <family val="2"/>
      <scheme val="minor"/>
    </font>
    <font>
      <sz val="11"/>
      <color theme="1" tint="0.34998626667073579"/>
      <name val="Calibri"/>
      <family val="2"/>
      <scheme val="minor"/>
    </font>
    <font>
      <b/>
      <sz val="36"/>
      <color theme="1"/>
      <name val="Calibri"/>
      <family val="2"/>
      <scheme val="minor"/>
    </font>
    <font>
      <sz val="36"/>
      <color theme="1"/>
      <name val="Calibri"/>
      <family val="2"/>
      <scheme val="minor"/>
    </font>
    <font>
      <b/>
      <sz val="36"/>
      <color rgb="FF000000"/>
      <name val="Calibri"/>
      <family val="2"/>
      <scheme val="minor"/>
    </font>
    <font>
      <sz val="11"/>
      <color rgb="FF000000"/>
      <name val="Calibri"/>
      <family val="2"/>
      <scheme val="minor"/>
    </font>
    <font>
      <sz val="36"/>
      <color rgb="FF000000"/>
      <name val="Calibri"/>
      <family val="2"/>
      <scheme val="minor"/>
    </font>
    <font>
      <b/>
      <sz val="36"/>
      <name val="Calibri"/>
      <family val="2"/>
      <scheme val="minor"/>
    </font>
    <font>
      <sz val="36"/>
      <name val="Calibri"/>
      <family val="2"/>
      <scheme val="minor"/>
    </font>
    <font>
      <b/>
      <sz val="11"/>
      <color rgb="FF006100"/>
      <name val="Calibri"/>
      <family val="2"/>
      <scheme val="minor"/>
    </font>
    <font>
      <sz val="14"/>
      <color theme="1"/>
      <name val="Calibri"/>
      <family val="2"/>
      <scheme val="minor"/>
    </font>
    <font>
      <b/>
      <sz val="16"/>
      <color rgb="FF000000"/>
      <name val="Calibri"/>
      <family val="2"/>
      <scheme val="minor"/>
    </font>
    <font>
      <sz val="16"/>
      <color theme="1"/>
      <name val="Calibri"/>
      <family val="2"/>
      <scheme val="minor"/>
    </font>
    <font>
      <b/>
      <sz val="16"/>
      <name val="Calibri"/>
      <family val="2"/>
      <scheme val="minor"/>
    </font>
    <font>
      <b/>
      <sz val="36"/>
      <color rgb="FF006100"/>
      <name val="Calibri"/>
      <family val="2"/>
      <scheme val="minor"/>
    </font>
    <font>
      <b/>
      <sz val="11"/>
      <color theme="1" tint="0.34998626667073579"/>
      <name val="Calibri"/>
      <family val="2"/>
      <scheme val="minor"/>
    </font>
  </fonts>
  <fills count="52">
    <fill>
      <patternFill patternType="none"/>
    </fill>
    <fill>
      <patternFill patternType="gray125"/>
    </fill>
    <fill>
      <patternFill patternType="solid">
        <fgColor theme="9" tint="0.39997558519241921"/>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D9D9D9"/>
        <bgColor rgb="FF000000"/>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bgColor indexed="64"/>
      </patternFill>
    </fill>
    <fill>
      <patternFill patternType="solid">
        <fgColor theme="7" tint="0.39997558519241921"/>
        <bgColor indexed="64"/>
      </patternFill>
    </fill>
    <fill>
      <patternFill patternType="solid">
        <fgColor theme="6"/>
        <bgColor indexed="64"/>
      </patternFill>
    </fill>
    <fill>
      <patternFill patternType="solid">
        <fgColor theme="5"/>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8"/>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rgb="FFDCE6F1"/>
        <bgColor rgb="FF000000"/>
      </patternFill>
    </fill>
    <fill>
      <patternFill patternType="solid">
        <fgColor rgb="FF8064A2"/>
        <bgColor rgb="FF000000"/>
      </patternFill>
    </fill>
    <fill>
      <patternFill patternType="solid">
        <fgColor rgb="FFC0504D"/>
        <bgColor rgb="FF000000"/>
      </patternFill>
    </fill>
    <fill>
      <patternFill patternType="solid">
        <fgColor rgb="FF9BBB59"/>
        <bgColor rgb="FF000000"/>
      </patternFill>
    </fill>
    <fill>
      <patternFill patternType="solid">
        <fgColor rgb="FF4BACC6"/>
        <bgColor rgb="FF000000"/>
      </patternFill>
    </fill>
    <fill>
      <patternFill patternType="solid">
        <fgColor rgb="FFB1A0C7"/>
        <bgColor rgb="FF000000"/>
      </patternFill>
    </fill>
    <fill>
      <patternFill patternType="solid">
        <fgColor rgb="FFDA9694"/>
        <bgColor rgb="FF000000"/>
      </patternFill>
    </fill>
    <fill>
      <patternFill patternType="solid">
        <fgColor rgb="FFF2F2F2"/>
        <bgColor rgb="FF000000"/>
      </patternFill>
    </fill>
    <fill>
      <patternFill patternType="solid">
        <fgColor rgb="FFD8E4BC"/>
        <bgColor rgb="FF000000"/>
      </patternFill>
    </fill>
    <fill>
      <patternFill patternType="solid">
        <fgColor rgb="FFC4D79B"/>
        <bgColor rgb="FF000000"/>
      </patternFill>
    </fill>
    <fill>
      <patternFill patternType="solid">
        <fgColor rgb="FFB7DEE8"/>
        <bgColor rgb="FF000000"/>
      </patternFill>
    </fill>
    <fill>
      <patternFill patternType="solid">
        <fgColor rgb="FFE6B8B7"/>
        <bgColor rgb="FF000000"/>
      </patternFill>
    </fill>
    <fill>
      <patternFill patternType="solid">
        <fgColor rgb="FFF2DCDB"/>
        <bgColor rgb="FF000000"/>
      </patternFill>
    </fill>
    <fill>
      <patternFill patternType="solid">
        <fgColor rgb="FFC6EFCE"/>
        <bgColor rgb="FF000000"/>
      </patternFill>
    </fill>
    <fill>
      <patternFill patternType="solid">
        <fgColor theme="0" tint="-0.14999847407452621"/>
        <bgColor rgb="FF000000"/>
      </patternFill>
    </fill>
    <fill>
      <patternFill patternType="solid">
        <fgColor rgb="FF1F497D"/>
        <bgColor rgb="FF000000"/>
      </patternFill>
    </fill>
    <fill>
      <patternFill patternType="solid">
        <fgColor rgb="FFC5D9F1"/>
        <bgColor rgb="FF000000"/>
      </patternFill>
    </fill>
    <fill>
      <patternFill patternType="solid">
        <fgColor rgb="FF95B3D7"/>
        <bgColor rgb="FF000000"/>
      </patternFill>
    </fill>
    <fill>
      <patternFill patternType="solid">
        <fgColor theme="6" tint="0.39997558519241921"/>
        <bgColor rgb="FF000000"/>
      </patternFill>
    </fill>
    <fill>
      <patternFill patternType="solid">
        <fgColor theme="6" tint="0.79998168889431442"/>
        <bgColor rgb="FF000000"/>
      </patternFill>
    </fill>
    <fill>
      <patternFill patternType="solid">
        <fgColor theme="5" tint="0.79998168889431442"/>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rgb="FF000000"/>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69">
    <xf numFmtId="0" fontId="0" fillId="0" borderId="0" xfId="0"/>
    <xf numFmtId="0" fontId="1" fillId="2" borderId="6" xfId="0" applyFont="1" applyFill="1" applyBorder="1"/>
    <xf numFmtId="0" fontId="1" fillId="4" borderId="6" xfId="0" applyFont="1" applyFill="1" applyBorder="1"/>
    <xf numFmtId="0" fontId="1" fillId="6" borderId="6" xfId="0" applyFont="1" applyFill="1" applyBorder="1"/>
    <xf numFmtId="0" fontId="0" fillId="0" borderId="1" xfId="0" applyBorder="1"/>
    <xf numFmtId="0" fontId="1" fillId="5" borderId="1" xfId="0" applyFont="1" applyFill="1" applyBorder="1"/>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1" fillId="0" borderId="1" xfId="0" applyFont="1" applyBorder="1"/>
    <xf numFmtId="0" fontId="3" fillId="4" borderId="8" xfId="0" applyFont="1" applyFill="1" applyBorder="1" applyAlignment="1">
      <alignment vertical="top" wrapText="1"/>
    </xf>
    <xf numFmtId="0" fontId="3" fillId="6" borderId="8" xfId="0" applyFont="1" applyFill="1" applyBorder="1" applyAlignment="1">
      <alignment vertical="top" wrapText="1"/>
    </xf>
    <xf numFmtId="0" fontId="3" fillId="7" borderId="7" xfId="0" applyFont="1" applyFill="1" applyBorder="1" applyAlignment="1">
      <alignment vertical="top" wrapText="1"/>
    </xf>
    <xf numFmtId="0" fontId="5" fillId="0" borderId="0" xfId="0" applyFont="1" applyAlignment="1">
      <alignment horizontal="left" vertical="center" wrapText="1"/>
    </xf>
    <xf numFmtId="0" fontId="3" fillId="10" borderId="2" xfId="0" applyFont="1" applyFill="1" applyBorder="1" applyAlignment="1">
      <alignment horizontal="left" vertical="center" wrapText="1"/>
    </xf>
    <xf numFmtId="0" fontId="3" fillId="10" borderId="2" xfId="0" applyFont="1" applyFill="1" applyBorder="1" applyAlignment="1">
      <alignment vertical="center"/>
    </xf>
    <xf numFmtId="0" fontId="3" fillId="10" borderId="2" xfId="0" applyFont="1" applyFill="1" applyBorder="1" applyAlignment="1">
      <alignment vertical="center" wrapText="1"/>
    </xf>
    <xf numFmtId="0" fontId="0" fillId="0" borderId="1" xfId="0" applyBorder="1" applyAlignment="1">
      <alignment horizontal="center"/>
    </xf>
    <xf numFmtId="0" fontId="0" fillId="0" borderId="0" xfId="0" applyAlignment="1">
      <alignment horizontal="center"/>
    </xf>
    <xf numFmtId="0" fontId="3" fillId="6" borderId="7" xfId="0" applyFont="1" applyFill="1" applyBorder="1" applyAlignment="1">
      <alignment vertical="top" wrapText="1"/>
    </xf>
    <xf numFmtId="0" fontId="1" fillId="0" borderId="1" xfId="0" applyFont="1" applyBorder="1" applyAlignment="1">
      <alignment wrapText="1"/>
    </xf>
    <xf numFmtId="0" fontId="1" fillId="0" borderId="2" xfId="0" applyFont="1" applyBorder="1" applyAlignment="1">
      <alignment wrapText="1"/>
    </xf>
    <xf numFmtId="0" fontId="1" fillId="0" borderId="0" xfId="0" applyFont="1"/>
    <xf numFmtId="0" fontId="3" fillId="12" borderId="8" xfId="0" applyFont="1" applyFill="1" applyBorder="1" applyAlignment="1">
      <alignment vertical="top" wrapText="1"/>
    </xf>
    <xf numFmtId="0" fontId="1" fillId="0" borderId="0" xfId="0" applyFont="1" applyAlignment="1">
      <alignment wrapText="1"/>
    </xf>
    <xf numFmtId="0" fontId="3" fillId="15" borderId="7" xfId="0" applyFont="1" applyFill="1" applyBorder="1" applyAlignment="1">
      <alignment vertical="top" wrapText="1"/>
    </xf>
    <xf numFmtId="0" fontId="6" fillId="11"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11" borderId="2" xfId="0" applyFont="1" applyFill="1" applyBorder="1" applyAlignment="1">
      <alignment horizontal="center" vertical="center" wrapText="1"/>
    </xf>
    <xf numFmtId="0" fontId="6" fillId="0" borderId="1" xfId="0" applyFont="1" applyBorder="1" applyAlignment="1">
      <alignment wrapText="1"/>
    </xf>
    <xf numFmtId="0" fontId="7" fillId="0" borderId="1" xfId="0" applyFont="1" applyBorder="1" applyAlignment="1">
      <alignment horizontal="left" vertical="center" wrapText="1"/>
    </xf>
    <xf numFmtId="0" fontId="7" fillId="0" borderId="0" xfId="0" applyFont="1" applyAlignment="1">
      <alignment horizontal="left" vertical="center" wrapText="1"/>
    </xf>
    <xf numFmtId="0" fontId="9" fillId="0" borderId="0" xfId="0" applyFont="1" applyAlignment="1">
      <alignment wrapText="1"/>
    </xf>
    <xf numFmtId="0" fontId="8" fillId="26" borderId="1" xfId="0" applyFont="1" applyFill="1" applyBorder="1" applyAlignment="1">
      <alignment wrapText="1"/>
    </xf>
    <xf numFmtId="0" fontId="10" fillId="26" borderId="1" xfId="0" applyFont="1" applyFill="1" applyBorder="1" applyAlignment="1">
      <alignment wrapText="1"/>
    </xf>
    <xf numFmtId="0" fontId="8" fillId="0" borderId="1" xfId="0" applyFont="1" applyBorder="1" applyAlignment="1">
      <alignment wrapText="1"/>
    </xf>
    <xf numFmtId="0" fontId="8" fillId="0" borderId="0" xfId="0" applyFont="1" applyAlignment="1">
      <alignment wrapText="1"/>
    </xf>
    <xf numFmtId="0" fontId="10" fillId="0" borderId="1" xfId="0" applyFont="1" applyBorder="1" applyAlignment="1">
      <alignment wrapText="1"/>
    </xf>
    <xf numFmtId="0" fontId="10" fillId="0" borderId="1" xfId="0" applyFont="1" applyBorder="1" applyAlignment="1">
      <alignment horizontal="center" vertical="center" wrapText="1"/>
    </xf>
    <xf numFmtId="0" fontId="9" fillId="0" borderId="1" xfId="0" applyFont="1" applyBorder="1" applyAlignment="1">
      <alignment wrapText="1"/>
    </xf>
    <xf numFmtId="0" fontId="8" fillId="28" borderId="1" xfId="0" applyFont="1" applyFill="1" applyBorder="1" applyAlignment="1">
      <alignment horizontal="center" vertical="top" wrapText="1"/>
    </xf>
    <xf numFmtId="0" fontId="9" fillId="26" borderId="0" xfId="0" applyFont="1" applyFill="1" applyAlignment="1">
      <alignment wrapText="1"/>
    </xf>
    <xf numFmtId="0" fontId="8" fillId="12" borderId="1" xfId="0" applyFont="1" applyFill="1" applyBorder="1" applyAlignment="1">
      <alignment vertical="top" wrapText="1"/>
    </xf>
    <xf numFmtId="0" fontId="8" fillId="0" borderId="0" xfId="0" applyFont="1"/>
    <xf numFmtId="0" fontId="11" fillId="0" borderId="0" xfId="0" applyFont="1"/>
    <xf numFmtId="0" fontId="12" fillId="0" borderId="0" xfId="0" applyFont="1" applyAlignment="1">
      <alignment wrapText="1"/>
    </xf>
    <xf numFmtId="0" fontId="0" fillId="0" borderId="0" xfId="0" applyAlignment="1">
      <alignment wrapText="1"/>
    </xf>
    <xf numFmtId="0" fontId="12" fillId="38" borderId="0" xfId="0" applyFont="1" applyFill="1" applyAlignment="1">
      <alignment wrapText="1"/>
    </xf>
    <xf numFmtId="0" fontId="10" fillId="0" borderId="0" xfId="0" applyFont="1" applyAlignment="1">
      <alignment wrapText="1"/>
    </xf>
    <xf numFmtId="0" fontId="10" fillId="43" borderId="2" xfId="0" applyFont="1" applyFill="1" applyBorder="1" applyAlignment="1">
      <alignment vertical="top" wrapText="1"/>
    </xf>
    <xf numFmtId="0" fontId="10" fillId="43" borderId="11" xfId="0" applyFont="1" applyFill="1" applyBorder="1" applyAlignment="1">
      <alignment vertical="top" wrapText="1"/>
    </xf>
    <xf numFmtId="0" fontId="11" fillId="0" borderId="0" xfId="0" applyFont="1" applyAlignment="1">
      <alignment wrapText="1"/>
    </xf>
    <xf numFmtId="0" fontId="13" fillId="0" borderId="1" xfId="0" applyFont="1" applyBorder="1" applyAlignment="1">
      <alignment wrapText="1"/>
    </xf>
    <xf numFmtId="0" fontId="14" fillId="0" borderId="0" xfId="0" applyFont="1" applyAlignment="1">
      <alignment wrapText="1"/>
    </xf>
    <xf numFmtId="0" fontId="10" fillId="45" borderId="1"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0" fillId="45" borderId="2"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6" fillId="48" borderId="11" xfId="0" applyFont="1" applyFill="1" applyBorder="1" applyAlignment="1">
      <alignment horizontal="center" vertical="top" wrapText="1"/>
    </xf>
    <xf numFmtId="0" fontId="15" fillId="11" borderId="1" xfId="0" applyFont="1" applyFill="1" applyBorder="1" applyAlignment="1">
      <alignment wrapText="1"/>
    </xf>
    <xf numFmtId="0" fontId="15" fillId="44" borderId="1" xfId="0" applyFont="1" applyFill="1" applyBorder="1" applyAlignment="1">
      <alignment wrapText="1"/>
    </xf>
    <xf numFmtId="0" fontId="6" fillId="0" borderId="0" xfId="0" applyFont="1"/>
    <xf numFmtId="0" fontId="6" fillId="45"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1" fillId="26" borderId="1" xfId="0" applyFont="1" applyFill="1" applyBorder="1" applyAlignment="1">
      <alignment wrapText="1"/>
    </xf>
    <xf numFmtId="0" fontId="6" fillId="9" borderId="2" xfId="0" applyFont="1" applyFill="1" applyBorder="1" applyAlignment="1">
      <alignment horizontal="center" vertical="center" wrapText="1"/>
    </xf>
    <xf numFmtId="0" fontId="6" fillId="45" borderId="2" xfId="0" applyFont="1" applyFill="1" applyBorder="1" applyAlignment="1">
      <alignment horizontal="center" vertical="center" wrapText="1"/>
    </xf>
    <xf numFmtId="0" fontId="16" fillId="0" borderId="0" xfId="0" applyFont="1"/>
    <xf numFmtId="0" fontId="18" fillId="0" borderId="0" xfId="0" applyFont="1"/>
    <xf numFmtId="0" fontId="17" fillId="45" borderId="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17" fillId="43" borderId="1" xfId="0" applyFont="1" applyFill="1" applyBorder="1" applyAlignment="1">
      <alignment vertical="center" textRotation="90" wrapText="1"/>
    </xf>
    <xf numFmtId="0" fontId="18" fillId="0" borderId="0" xfId="0" applyFont="1" applyAlignment="1">
      <alignment wrapText="1"/>
    </xf>
    <xf numFmtId="0" fontId="17" fillId="51" borderId="1" xfId="0" applyFont="1" applyFill="1" applyBorder="1" applyAlignment="1">
      <alignment vertical="center" textRotation="90" wrapText="1"/>
    </xf>
    <xf numFmtId="0" fontId="19" fillId="0" borderId="1" xfId="0" applyFont="1" applyBorder="1" applyAlignment="1">
      <alignment horizontal="left" vertical="top" wrapText="1"/>
    </xf>
    <xf numFmtId="0" fontId="18" fillId="0" borderId="0" xfId="0" applyFont="1" applyAlignment="1">
      <alignment horizontal="left" vertical="top" wrapText="1"/>
    </xf>
    <xf numFmtId="0" fontId="17" fillId="36" borderId="1" xfId="0" applyFont="1" applyFill="1" applyBorder="1" applyAlignment="1">
      <alignment horizontal="center" vertical="center" wrapText="1"/>
    </xf>
    <xf numFmtId="0" fontId="17" fillId="40" borderId="1" xfId="0" applyFont="1" applyFill="1" applyBorder="1" applyAlignment="1">
      <alignment horizontal="center" vertical="center" wrapText="1"/>
    </xf>
    <xf numFmtId="0" fontId="17" fillId="35" borderId="1" xfId="0" applyFont="1" applyFill="1" applyBorder="1" applyAlignment="1">
      <alignment horizontal="center" vertical="center" textRotation="90" wrapText="1"/>
    </xf>
    <xf numFmtId="0" fontId="17" fillId="41" borderId="1" xfId="0" applyFont="1" applyFill="1" applyBorder="1" applyAlignment="1">
      <alignment horizontal="center" vertical="center" wrapText="1"/>
    </xf>
    <xf numFmtId="0" fontId="17" fillId="33" borderId="1" xfId="0" applyFont="1" applyFill="1" applyBorder="1" applyAlignment="1">
      <alignment horizontal="center" vertical="center" textRotation="90" wrapText="1"/>
    </xf>
    <xf numFmtId="0" fontId="17" fillId="42" borderId="1" xfId="0" applyFont="1" applyFill="1" applyBorder="1" applyAlignment="1">
      <alignment horizontal="center" vertical="center" textRotation="90" wrapText="1"/>
    </xf>
    <xf numFmtId="0" fontId="17" fillId="37" borderId="1" xfId="0" applyFont="1" applyFill="1" applyBorder="1" applyAlignment="1">
      <alignment horizontal="center" vertical="center" textRotation="90" wrapText="1"/>
    </xf>
    <xf numFmtId="0" fontId="17" fillId="31" borderId="1" xfId="0" applyFont="1" applyFill="1" applyBorder="1" applyAlignment="1">
      <alignment horizontal="center" vertical="center" wrapText="1"/>
    </xf>
    <xf numFmtId="0" fontId="17" fillId="32" borderId="1" xfId="0" applyFont="1" applyFill="1" applyBorder="1" applyAlignment="1">
      <alignment horizontal="center" vertical="center" textRotation="90" wrapText="1"/>
    </xf>
    <xf numFmtId="0" fontId="17" fillId="50" borderId="1" xfId="0" applyFont="1" applyFill="1" applyBorder="1" applyAlignment="1">
      <alignment horizontal="center" vertical="center" wrapText="1"/>
    </xf>
    <xf numFmtId="0" fontId="17" fillId="49" borderId="1" xfId="0" applyFont="1" applyFill="1" applyBorder="1" applyAlignment="1">
      <alignment horizontal="center" vertical="center" textRotation="90" wrapText="1"/>
    </xf>
    <xf numFmtId="0" fontId="17" fillId="34" borderId="1" xfId="0" applyFont="1" applyFill="1" applyBorder="1" applyAlignment="1">
      <alignment horizontal="center" vertical="center" textRotation="90" wrapText="1"/>
    </xf>
    <xf numFmtId="0" fontId="2" fillId="7" borderId="1" xfId="0" applyFont="1" applyFill="1" applyBorder="1" applyAlignment="1">
      <alignment horizontal="center" vertical="top" wrapText="1"/>
    </xf>
    <xf numFmtId="0" fontId="2" fillId="15" borderId="1" xfId="0" applyFont="1" applyFill="1" applyBorder="1" applyAlignment="1">
      <alignment horizontal="center" vertical="top" wrapText="1"/>
    </xf>
    <xf numFmtId="0" fontId="2" fillId="3" borderId="6" xfId="0" applyFont="1" applyFill="1" applyBorder="1" applyAlignment="1">
      <alignment horizontal="center" vertical="top" wrapText="1"/>
    </xf>
    <xf numFmtId="0" fontId="2" fillId="3" borderId="8" xfId="0" applyFont="1" applyFill="1" applyBorder="1" applyAlignment="1">
      <alignment horizontal="center" vertical="top" wrapText="1"/>
    </xf>
    <xf numFmtId="0" fontId="2" fillId="14" borderId="6" xfId="0" applyFont="1" applyFill="1" applyBorder="1" applyAlignment="1">
      <alignment horizontal="center" vertical="top" wrapText="1"/>
    </xf>
    <xf numFmtId="0" fontId="2" fillId="14" borderId="8" xfId="0" applyFont="1" applyFill="1" applyBorder="1" applyAlignment="1">
      <alignment horizontal="center" vertical="top" wrapText="1"/>
    </xf>
    <xf numFmtId="0" fontId="2" fillId="8" borderId="6" xfId="0" applyFont="1" applyFill="1" applyBorder="1" applyAlignment="1">
      <alignment horizontal="center" vertical="top" wrapText="1"/>
    </xf>
    <xf numFmtId="0" fontId="2" fillId="8" borderId="8" xfId="0" applyFont="1" applyFill="1" applyBorder="1" applyAlignment="1">
      <alignment horizontal="center" vertical="top" wrapText="1"/>
    </xf>
    <xf numFmtId="0" fontId="2" fillId="7" borderId="6" xfId="0" applyFont="1" applyFill="1" applyBorder="1" applyAlignment="1">
      <alignment horizontal="center" vertical="top" wrapText="1"/>
    </xf>
    <xf numFmtId="0" fontId="2" fillId="7" borderId="8" xfId="0" applyFont="1" applyFill="1" applyBorder="1" applyAlignment="1">
      <alignment horizontal="center" vertical="top" wrapText="1"/>
    </xf>
    <xf numFmtId="0" fontId="2" fillId="15" borderId="6" xfId="0" applyFont="1" applyFill="1" applyBorder="1" applyAlignment="1">
      <alignment horizontal="center" vertical="top" wrapText="1"/>
    </xf>
    <xf numFmtId="0" fontId="2" fillId="15" borderId="8" xfId="0" applyFont="1" applyFill="1" applyBorder="1" applyAlignment="1">
      <alignment horizontal="center" vertical="top" wrapText="1"/>
    </xf>
    <xf numFmtId="0" fontId="2" fillId="16" borderId="6" xfId="0" applyFont="1" applyFill="1" applyBorder="1" applyAlignment="1">
      <alignment horizontal="center" vertical="top" wrapText="1"/>
    </xf>
    <xf numFmtId="0" fontId="2" fillId="16" borderId="8" xfId="0" applyFont="1" applyFill="1" applyBorder="1" applyAlignment="1">
      <alignment horizontal="center" vertical="top" wrapText="1"/>
    </xf>
    <xf numFmtId="0" fontId="2" fillId="4" borderId="3" xfId="0" applyFont="1" applyFill="1" applyBorder="1" applyAlignment="1">
      <alignment horizontal="center" wrapText="1"/>
    </xf>
    <xf numFmtId="0" fontId="2" fillId="4" borderId="4" xfId="0" applyFont="1" applyFill="1" applyBorder="1" applyAlignment="1">
      <alignment horizontal="center" wrapText="1"/>
    </xf>
    <xf numFmtId="0" fontId="2" fillId="4" borderId="5" xfId="0" applyFont="1" applyFill="1" applyBorder="1" applyAlignment="1">
      <alignment horizontal="center" wrapText="1"/>
    </xf>
    <xf numFmtId="0" fontId="2" fillId="4" borderId="3" xfId="0" applyFont="1" applyFill="1" applyBorder="1" applyAlignment="1">
      <alignment horizontal="center" vertical="top" wrapText="1"/>
    </xf>
    <xf numFmtId="0" fontId="2" fillId="4" borderId="4" xfId="0" applyFont="1" applyFill="1" applyBorder="1" applyAlignment="1">
      <alignment horizontal="center" vertical="top" wrapText="1"/>
    </xf>
    <xf numFmtId="0" fontId="2" fillId="4" borderId="5" xfId="0" applyFont="1" applyFill="1" applyBorder="1" applyAlignment="1">
      <alignment horizontal="center" vertical="top" wrapText="1"/>
    </xf>
    <xf numFmtId="0" fontId="2" fillId="2" borderId="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6" borderId="3" xfId="0" applyFont="1" applyFill="1" applyBorder="1" applyAlignment="1">
      <alignment horizontal="center" vertical="top" wrapText="1"/>
    </xf>
    <xf numFmtId="0" fontId="2" fillId="6" borderId="4" xfId="0" applyFont="1" applyFill="1" applyBorder="1" applyAlignment="1">
      <alignment horizontal="center" vertical="top" wrapText="1"/>
    </xf>
    <xf numFmtId="0" fontId="2" fillId="6" borderId="5" xfId="0" applyFont="1" applyFill="1" applyBorder="1" applyAlignment="1">
      <alignment horizontal="center" vertical="top" wrapText="1"/>
    </xf>
    <xf numFmtId="0" fontId="2" fillId="12" borderId="3" xfId="0" applyFont="1" applyFill="1" applyBorder="1" applyAlignment="1">
      <alignment horizontal="center" vertical="top" wrapText="1"/>
    </xf>
    <xf numFmtId="0" fontId="2" fillId="12" borderId="4" xfId="0" applyFont="1" applyFill="1" applyBorder="1" applyAlignment="1">
      <alignment horizontal="center" vertical="top" wrapText="1"/>
    </xf>
    <xf numFmtId="0" fontId="2" fillId="6" borderId="3" xfId="0" applyFont="1" applyFill="1" applyBorder="1" applyAlignment="1">
      <alignment horizontal="center" wrapText="1"/>
    </xf>
    <xf numFmtId="0" fontId="2" fillId="6" borderId="4" xfId="0" applyFont="1" applyFill="1" applyBorder="1" applyAlignment="1">
      <alignment horizontal="center" wrapText="1"/>
    </xf>
    <xf numFmtId="0" fontId="2" fillId="6" borderId="6" xfId="0" applyFont="1" applyFill="1" applyBorder="1" applyAlignment="1">
      <alignment horizontal="center" vertical="top" wrapText="1"/>
    </xf>
    <xf numFmtId="0" fontId="2" fillId="6" borderId="8" xfId="0" applyFont="1" applyFill="1" applyBorder="1" applyAlignment="1">
      <alignment horizontal="center" vertical="top" wrapText="1"/>
    </xf>
    <xf numFmtId="0" fontId="2" fillId="12" borderId="6" xfId="0" applyFont="1" applyFill="1" applyBorder="1" applyAlignment="1">
      <alignment horizontal="center" vertical="top" wrapText="1"/>
    </xf>
    <xf numFmtId="0" fontId="2" fillId="12" borderId="8" xfId="0" applyFont="1" applyFill="1" applyBorder="1" applyAlignment="1">
      <alignment horizontal="center" vertical="top" wrapText="1"/>
    </xf>
    <xf numFmtId="0" fontId="2" fillId="13" borderId="6" xfId="0" applyFont="1" applyFill="1" applyBorder="1" applyAlignment="1">
      <alignment horizontal="center" vertical="top" wrapText="1"/>
    </xf>
    <xf numFmtId="0" fontId="2" fillId="13" borderId="8" xfId="0" applyFont="1" applyFill="1" applyBorder="1" applyAlignment="1">
      <alignment horizontal="center" vertical="top" wrapText="1"/>
    </xf>
    <xf numFmtId="0" fontId="2" fillId="4" borderId="6" xfId="0" applyFont="1" applyFill="1" applyBorder="1" applyAlignment="1">
      <alignment horizontal="center" vertical="top" wrapText="1"/>
    </xf>
    <xf numFmtId="0" fontId="2" fillId="4" borderId="8" xfId="0" applyFont="1" applyFill="1" applyBorder="1" applyAlignment="1">
      <alignment horizontal="center" vertical="top" wrapText="1"/>
    </xf>
    <xf numFmtId="0" fontId="2" fillId="3" borderId="3" xfId="0" applyFont="1" applyFill="1" applyBorder="1" applyAlignment="1">
      <alignment horizontal="center" wrapText="1"/>
    </xf>
    <xf numFmtId="0" fontId="2" fillId="3" borderId="4" xfId="0" applyFont="1" applyFill="1" applyBorder="1" applyAlignment="1">
      <alignment horizontal="center" wrapText="1"/>
    </xf>
    <xf numFmtId="0" fontId="2" fillId="3" borderId="5" xfId="0" applyFont="1" applyFill="1" applyBorder="1" applyAlignment="1">
      <alignment horizontal="center" wrapText="1"/>
    </xf>
    <xf numFmtId="0" fontId="2" fillId="7" borderId="3" xfId="0" applyFont="1" applyFill="1" applyBorder="1" applyAlignment="1">
      <alignment horizontal="center" wrapText="1"/>
    </xf>
    <xf numFmtId="0" fontId="2" fillId="7" borderId="4" xfId="0" applyFont="1" applyFill="1" applyBorder="1" applyAlignment="1">
      <alignment horizontal="center" wrapText="1"/>
    </xf>
    <xf numFmtId="0" fontId="2" fillId="7" borderId="5" xfId="0" applyFont="1" applyFill="1" applyBorder="1" applyAlignment="1">
      <alignment horizontal="center" wrapText="1"/>
    </xf>
    <xf numFmtId="0" fontId="2" fillId="8" borderId="3" xfId="0" applyFont="1" applyFill="1" applyBorder="1" applyAlignment="1">
      <alignment horizontal="center" wrapText="1"/>
    </xf>
    <xf numFmtId="0" fontId="2" fillId="8" borderId="4" xfId="0" applyFont="1" applyFill="1" applyBorder="1" applyAlignment="1">
      <alignment horizontal="center" wrapText="1"/>
    </xf>
    <xf numFmtId="0" fontId="2" fillId="8" borderId="5" xfId="0" applyFont="1" applyFill="1" applyBorder="1" applyAlignment="1">
      <alignment horizontal="center" wrapText="1"/>
    </xf>
    <xf numFmtId="0" fontId="8" fillId="27" borderId="1" xfId="0" applyFont="1" applyFill="1" applyBorder="1" applyAlignment="1">
      <alignment horizontal="center" wrapText="1"/>
    </xf>
    <xf numFmtId="0" fontId="8" fillId="4" borderId="1" xfId="0" applyFont="1" applyFill="1" applyBorder="1" applyAlignment="1">
      <alignment horizontal="center" vertical="top" wrapText="1"/>
    </xf>
    <xf numFmtId="0" fontId="8" fillId="19" borderId="1" xfId="0" applyFont="1" applyFill="1" applyBorder="1" applyAlignment="1">
      <alignment horizontal="center" wrapText="1"/>
    </xf>
    <xf numFmtId="0" fontId="8" fillId="25" borderId="1" xfId="0" applyFont="1" applyFill="1" applyBorder="1" applyAlignment="1">
      <alignment horizontal="center" vertical="top" wrapText="1"/>
    </xf>
    <xf numFmtId="0" fontId="8" fillId="23" borderId="1" xfId="0" applyFont="1" applyFill="1" applyBorder="1" applyAlignment="1">
      <alignment horizontal="center" vertical="top" wrapText="1"/>
    </xf>
    <xf numFmtId="0" fontId="8" fillId="24" borderId="3" xfId="0" applyFont="1" applyFill="1" applyBorder="1" applyAlignment="1">
      <alignment horizontal="center" wrapText="1"/>
    </xf>
    <xf numFmtId="0" fontId="8" fillId="24" borderId="4" xfId="0" applyFont="1" applyFill="1" applyBorder="1" applyAlignment="1">
      <alignment horizontal="center" wrapText="1"/>
    </xf>
    <xf numFmtId="0" fontId="8" fillId="24" borderId="5" xfId="0" applyFont="1" applyFill="1" applyBorder="1" applyAlignment="1">
      <alignment horizontal="center" wrapText="1"/>
    </xf>
    <xf numFmtId="0" fontId="8" fillId="22" borderId="10" xfId="0" applyFont="1" applyFill="1" applyBorder="1" applyAlignment="1">
      <alignment horizontal="center" wrapText="1"/>
    </xf>
    <xf numFmtId="0" fontId="8" fillId="22" borderId="11" xfId="0" applyFont="1" applyFill="1" applyBorder="1" applyAlignment="1">
      <alignment horizontal="center" wrapText="1"/>
    </xf>
    <xf numFmtId="0" fontId="8" fillId="4" borderId="6" xfId="0" applyFont="1" applyFill="1" applyBorder="1" applyAlignment="1">
      <alignment horizontal="center" vertical="top" wrapText="1"/>
    </xf>
    <xf numFmtId="0" fontId="8" fillId="4" borderId="2" xfId="0" applyFont="1" applyFill="1" applyBorder="1" applyAlignment="1">
      <alignment horizontal="center" vertical="top" wrapText="1"/>
    </xf>
    <xf numFmtId="0" fontId="8" fillId="28" borderId="3" xfId="0" applyFont="1" applyFill="1" applyBorder="1" applyAlignment="1">
      <alignment horizontal="center" vertical="top" wrapText="1"/>
    </xf>
    <xf numFmtId="0" fontId="8" fillId="28" borderId="4" xfId="0" applyFont="1" applyFill="1" applyBorder="1" applyAlignment="1">
      <alignment horizontal="center" vertical="top" wrapText="1"/>
    </xf>
    <xf numFmtId="0" fontId="8" fillId="28" borderId="5" xfId="0" applyFont="1" applyFill="1" applyBorder="1" applyAlignment="1">
      <alignment horizontal="center" vertical="top" wrapText="1"/>
    </xf>
    <xf numFmtId="0" fontId="8" fillId="28" borderId="1" xfId="0" applyFont="1" applyFill="1" applyBorder="1" applyAlignment="1">
      <alignment horizontal="center" vertical="top" wrapText="1"/>
    </xf>
    <xf numFmtId="0" fontId="8" fillId="6" borderId="1" xfId="0" applyFont="1" applyFill="1" applyBorder="1" applyAlignment="1">
      <alignment horizontal="center" vertical="top" wrapText="1"/>
    </xf>
    <xf numFmtId="0" fontId="8" fillId="21" borderId="1" xfId="0" applyFont="1" applyFill="1" applyBorder="1" applyAlignment="1">
      <alignment horizontal="center" vertical="center" wrapText="1"/>
    </xf>
    <xf numFmtId="0" fontId="8" fillId="18" borderId="1" xfId="0" applyFont="1" applyFill="1" applyBorder="1" applyAlignment="1">
      <alignment horizontal="center" vertical="top" wrapText="1"/>
    </xf>
    <xf numFmtId="0" fontId="8" fillId="30" borderId="3" xfId="0" applyFont="1" applyFill="1" applyBorder="1" applyAlignment="1">
      <alignment horizontal="center" vertical="top" wrapText="1"/>
    </xf>
    <xf numFmtId="0" fontId="8" fillId="30" borderId="4" xfId="0" applyFont="1" applyFill="1" applyBorder="1" applyAlignment="1">
      <alignment horizontal="center" vertical="top" wrapText="1"/>
    </xf>
    <xf numFmtId="0" fontId="8" fillId="30" borderId="5" xfId="0" applyFont="1" applyFill="1" applyBorder="1" applyAlignment="1">
      <alignment horizontal="center" vertical="top" wrapText="1"/>
    </xf>
    <xf numFmtId="0" fontId="8" fillId="29" borderId="1" xfId="0" applyFont="1" applyFill="1" applyBorder="1" applyAlignment="1">
      <alignment horizontal="center" vertical="top" wrapText="1"/>
    </xf>
    <xf numFmtId="0" fontId="8" fillId="7" borderId="1" xfId="0" applyFont="1" applyFill="1" applyBorder="1" applyAlignment="1">
      <alignment horizontal="center" vertical="top" wrapText="1"/>
    </xf>
    <xf numFmtId="0" fontId="8" fillId="28" borderId="6" xfId="0" applyFont="1" applyFill="1" applyBorder="1" applyAlignment="1">
      <alignment horizontal="center" vertical="top" wrapText="1"/>
    </xf>
    <xf numFmtId="0" fontId="8" fillId="28" borderId="2" xfId="0" applyFont="1" applyFill="1" applyBorder="1" applyAlignment="1">
      <alignment horizontal="center" vertical="top" wrapText="1"/>
    </xf>
    <xf numFmtId="0" fontId="8" fillId="18" borderId="6" xfId="0" applyFont="1" applyFill="1" applyBorder="1" applyAlignment="1">
      <alignment horizontal="center" vertical="top" wrapText="1"/>
    </xf>
    <xf numFmtId="0" fontId="8" fillId="18" borderId="9" xfId="0" applyFont="1" applyFill="1" applyBorder="1" applyAlignment="1">
      <alignment horizontal="center" vertical="top" wrapText="1"/>
    </xf>
    <xf numFmtId="0" fontId="8" fillId="18" borderId="2" xfId="0" applyFont="1" applyFill="1" applyBorder="1" applyAlignment="1">
      <alignment horizontal="center" vertical="top" wrapText="1"/>
    </xf>
    <xf numFmtId="0" fontId="8" fillId="17" borderId="1" xfId="0" applyFont="1" applyFill="1" applyBorder="1" applyAlignment="1">
      <alignment horizontal="center" vertical="top" wrapText="1"/>
    </xf>
    <xf numFmtId="0" fontId="8" fillId="20" borderId="3" xfId="0" applyFont="1" applyFill="1" applyBorder="1" applyAlignment="1">
      <alignment horizontal="center" wrapText="1"/>
    </xf>
    <xf numFmtId="0" fontId="8" fillId="20" borderId="4" xfId="0" applyFont="1" applyFill="1" applyBorder="1" applyAlignment="1">
      <alignment horizontal="center" wrapText="1"/>
    </xf>
    <xf numFmtId="0" fontId="10" fillId="42" borderId="6" xfId="0" applyFont="1" applyFill="1" applyBorder="1" applyAlignment="1">
      <alignment horizontal="center" vertical="top" wrapText="1"/>
    </xf>
    <xf numFmtId="0" fontId="10" fillId="42" borderId="2" xfId="0" applyFont="1" applyFill="1" applyBorder="1" applyAlignment="1">
      <alignment horizontal="center" vertical="top" wrapText="1"/>
    </xf>
    <xf numFmtId="0" fontId="10" fillId="39" borderId="6" xfId="0" applyFont="1" applyFill="1" applyBorder="1" applyAlignment="1">
      <alignment horizontal="center" vertical="top" wrapText="1"/>
    </xf>
    <xf numFmtId="0" fontId="10" fillId="39" borderId="2" xfId="0" applyFont="1" applyFill="1" applyBorder="1" applyAlignment="1">
      <alignment horizontal="center" vertical="top" wrapText="1"/>
    </xf>
    <xf numFmtId="0" fontId="10" fillId="37" borderId="3" xfId="0" applyFont="1" applyFill="1" applyBorder="1" applyAlignment="1">
      <alignment horizontal="center" vertical="top" wrapText="1"/>
    </xf>
    <xf numFmtId="0" fontId="10" fillId="37" borderId="4" xfId="0" applyFont="1" applyFill="1" applyBorder="1" applyAlignment="1">
      <alignment horizontal="center" vertical="top" wrapText="1"/>
    </xf>
    <xf numFmtId="0" fontId="10" fillId="37" borderId="13" xfId="0" applyFont="1" applyFill="1" applyBorder="1" applyAlignment="1">
      <alignment horizontal="center" vertical="top" wrapText="1"/>
    </xf>
    <xf numFmtId="0" fontId="10" fillId="39" borderId="3" xfId="0" applyFont="1" applyFill="1" applyBorder="1" applyAlignment="1">
      <alignment horizontal="center" vertical="top" wrapText="1"/>
    </xf>
    <xf numFmtId="0" fontId="10" fillId="39" borderId="4" xfId="0" applyFont="1" applyFill="1" applyBorder="1" applyAlignment="1">
      <alignment horizontal="center" vertical="top" wrapText="1"/>
    </xf>
    <xf numFmtId="0" fontId="10" fillId="39" borderId="5" xfId="0" applyFont="1" applyFill="1" applyBorder="1" applyAlignment="1">
      <alignment horizontal="center" vertical="top" wrapText="1"/>
    </xf>
    <xf numFmtId="0" fontId="10" fillId="40" borderId="6" xfId="0" applyFont="1" applyFill="1" applyBorder="1" applyAlignment="1">
      <alignment horizontal="center" vertical="top" wrapText="1"/>
    </xf>
    <xf numFmtId="0" fontId="10" fillId="40" borderId="9" xfId="0" applyFont="1" applyFill="1" applyBorder="1" applyAlignment="1">
      <alignment horizontal="center" vertical="top" wrapText="1"/>
    </xf>
    <xf numFmtId="0" fontId="10" fillId="40" borderId="2" xfId="0" applyFont="1" applyFill="1" applyBorder="1" applyAlignment="1">
      <alignment horizontal="center" vertical="top" wrapText="1"/>
    </xf>
    <xf numFmtId="0" fontId="10" fillId="41" borderId="6" xfId="0" applyFont="1" applyFill="1" applyBorder="1" applyAlignment="1">
      <alignment horizontal="center" vertical="top" wrapText="1"/>
    </xf>
    <xf numFmtId="0" fontId="10" fillId="41" borderId="9" xfId="0" applyFont="1" applyFill="1" applyBorder="1" applyAlignment="1">
      <alignment horizontal="center" vertical="top" wrapText="1"/>
    </xf>
    <xf numFmtId="0" fontId="10" fillId="41" borderId="2" xfId="0" applyFont="1" applyFill="1" applyBorder="1" applyAlignment="1">
      <alignment horizontal="center" vertical="top" wrapText="1"/>
    </xf>
    <xf numFmtId="0" fontId="10" fillId="42" borderId="3" xfId="0" applyFont="1" applyFill="1" applyBorder="1" applyAlignment="1">
      <alignment horizontal="center" vertical="top" wrapText="1"/>
    </xf>
    <xf numFmtId="0" fontId="10" fillId="42" borderId="4" xfId="0" applyFont="1" applyFill="1" applyBorder="1" applyAlignment="1">
      <alignment horizontal="center" vertical="top" wrapText="1"/>
    </xf>
    <xf numFmtId="0" fontId="10" fillId="42" borderId="5"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9" xfId="0" applyFont="1" applyFill="1" applyBorder="1" applyAlignment="1">
      <alignment horizontal="center" vertical="center" wrapText="1"/>
    </xf>
    <xf numFmtId="0" fontId="10" fillId="31" borderId="2" xfId="0" applyFont="1" applyFill="1" applyBorder="1" applyAlignment="1">
      <alignment horizontal="center" vertical="center" wrapText="1"/>
    </xf>
    <xf numFmtId="0" fontId="10" fillId="32" borderId="3" xfId="0" applyFont="1" applyFill="1" applyBorder="1" applyAlignment="1">
      <alignment horizontal="center" vertical="top" wrapText="1"/>
    </xf>
    <xf numFmtId="0" fontId="10" fillId="32" borderId="4" xfId="0" applyFont="1" applyFill="1" applyBorder="1" applyAlignment="1">
      <alignment horizontal="center" vertical="top" wrapText="1"/>
    </xf>
    <xf numFmtId="0" fontId="10" fillId="32" borderId="5" xfId="0" applyFont="1" applyFill="1" applyBorder="1" applyAlignment="1">
      <alignment horizontal="center" vertical="top" wrapText="1"/>
    </xf>
    <xf numFmtId="0" fontId="10" fillId="33" borderId="3" xfId="0" applyFont="1" applyFill="1" applyBorder="1" applyAlignment="1">
      <alignment horizontal="center" wrapText="1"/>
    </xf>
    <xf numFmtId="0" fontId="10" fillId="33" borderId="4" xfId="0" applyFont="1" applyFill="1" applyBorder="1" applyAlignment="1">
      <alignment horizontal="center" wrapText="1"/>
    </xf>
    <xf numFmtId="0" fontId="10" fillId="34" borderId="3" xfId="0" applyFont="1" applyFill="1" applyBorder="1" applyAlignment="1">
      <alignment horizontal="center" wrapText="1"/>
    </xf>
    <xf numFmtId="0" fontId="10" fillId="34" borderId="4" xfId="0" applyFont="1" applyFill="1" applyBorder="1" applyAlignment="1">
      <alignment horizontal="center" wrapText="1"/>
    </xf>
    <xf numFmtId="0" fontId="10" fillId="34" borderId="5" xfId="0" applyFont="1" applyFill="1" applyBorder="1" applyAlignment="1">
      <alignment horizontal="center" wrapText="1"/>
    </xf>
    <xf numFmtId="0" fontId="10" fillId="35" borderId="3" xfId="0" applyFont="1" applyFill="1" applyBorder="1" applyAlignment="1">
      <alignment horizontal="center" wrapText="1"/>
    </xf>
    <xf numFmtId="0" fontId="10" fillId="35" borderId="4" xfId="0" applyFont="1" applyFill="1" applyBorder="1" applyAlignment="1">
      <alignment horizontal="center" wrapText="1"/>
    </xf>
    <xf numFmtId="0" fontId="10" fillId="35" borderId="5" xfId="0" applyFont="1" applyFill="1" applyBorder="1" applyAlignment="1">
      <alignment horizontal="center" wrapText="1"/>
    </xf>
    <xf numFmtId="0" fontId="10" fillId="36" borderId="6" xfId="0" applyFont="1" applyFill="1" applyBorder="1" applyAlignment="1">
      <alignment horizontal="center" vertical="top" wrapText="1"/>
    </xf>
    <xf numFmtId="0" fontId="10" fillId="36" borderId="9" xfId="0" applyFont="1" applyFill="1" applyBorder="1" applyAlignment="1">
      <alignment horizontal="center" vertical="top" wrapText="1"/>
    </xf>
    <xf numFmtId="0" fontId="10" fillId="36" borderId="2" xfId="0" applyFont="1" applyFill="1" applyBorder="1" applyAlignment="1">
      <alignment horizontal="center" vertical="top" wrapText="1"/>
    </xf>
    <xf numFmtId="0" fontId="10" fillId="39" borderId="12" xfId="0" applyFont="1" applyFill="1" applyBorder="1" applyAlignment="1">
      <alignment horizontal="center" vertical="top" wrapText="1"/>
    </xf>
    <xf numFmtId="0" fontId="10" fillId="36" borderId="12" xfId="0" applyFont="1" applyFill="1" applyBorder="1" applyAlignment="1">
      <alignment horizontal="center" vertical="top" wrapText="1"/>
    </xf>
    <xf numFmtId="0" fontId="6" fillId="48" borderId="6" xfId="0" applyFont="1" applyFill="1" applyBorder="1" applyAlignment="1">
      <alignment horizontal="center" vertical="top" wrapText="1"/>
    </xf>
    <xf numFmtId="0" fontId="6" fillId="48" borderId="2" xfId="0" applyFont="1" applyFill="1" applyBorder="1" applyAlignment="1">
      <alignment horizontal="center" vertical="top" wrapText="1"/>
    </xf>
    <xf numFmtId="0" fontId="6" fillId="48" borderId="12" xfId="0" applyFont="1" applyFill="1" applyBorder="1" applyAlignment="1">
      <alignment horizontal="center" vertical="top" wrapText="1"/>
    </xf>
    <xf numFmtId="0" fontId="1" fillId="21" borderId="1" xfId="0" applyFont="1" applyFill="1" applyBorder="1" applyAlignment="1">
      <alignment horizontal="center" vertical="center" wrapText="1"/>
    </xf>
    <xf numFmtId="0" fontId="6" fillId="48" borderId="3" xfId="0" applyFont="1" applyFill="1" applyBorder="1" applyAlignment="1">
      <alignment horizontal="center" vertical="top" wrapText="1"/>
    </xf>
    <xf numFmtId="0" fontId="6" fillId="48" borderId="4" xfId="0" applyFont="1" applyFill="1" applyBorder="1" applyAlignment="1">
      <alignment horizontal="center" vertical="top" wrapText="1"/>
    </xf>
    <xf numFmtId="0" fontId="6" fillId="48" borderId="5" xfId="0" applyFont="1" applyFill="1" applyBorder="1" applyAlignment="1">
      <alignment horizontal="center" vertical="top" wrapText="1"/>
    </xf>
    <xf numFmtId="0" fontId="6" fillId="46" borderId="1" xfId="0" applyFont="1" applyFill="1" applyBorder="1" applyAlignment="1">
      <alignment horizontal="center" wrapText="1"/>
    </xf>
    <xf numFmtId="0" fontId="6" fillId="47" borderId="6" xfId="0" applyFont="1" applyFill="1" applyBorder="1" applyAlignment="1">
      <alignment horizontal="center" vertical="top" wrapText="1"/>
    </xf>
    <xf numFmtId="0" fontId="6" fillId="47" borderId="9" xfId="0" applyFont="1" applyFill="1" applyBorder="1" applyAlignment="1">
      <alignment horizontal="center" vertical="top" wrapText="1"/>
    </xf>
    <xf numFmtId="0" fontId="6" fillId="47" borderId="2" xfId="0" applyFont="1" applyFill="1" applyBorder="1" applyAlignment="1">
      <alignment horizontal="center" vertical="top" wrapText="1"/>
    </xf>
    <xf numFmtId="0" fontId="1" fillId="25" borderId="1" xfId="0" applyFont="1" applyFill="1" applyBorder="1" applyAlignment="1">
      <alignment horizontal="center" vertical="top" wrapText="1"/>
    </xf>
    <xf numFmtId="0" fontId="6" fillId="31" borderId="6" xfId="0" applyFont="1" applyFill="1" applyBorder="1" applyAlignment="1">
      <alignment horizontal="center" vertical="center" wrapText="1"/>
    </xf>
    <xf numFmtId="0" fontId="6" fillId="31" borderId="9" xfId="0" applyFont="1" applyFill="1" applyBorder="1" applyAlignment="1">
      <alignment horizontal="center" vertical="center" wrapText="1"/>
    </xf>
    <xf numFmtId="0" fontId="6" fillId="31" borderId="2" xfId="0" applyFont="1" applyFill="1" applyBorder="1" applyAlignment="1">
      <alignment horizontal="center" vertical="center" wrapText="1"/>
    </xf>
    <xf numFmtId="0" fontId="1" fillId="24" borderId="3" xfId="0" applyFont="1" applyFill="1" applyBorder="1" applyAlignment="1">
      <alignment horizontal="center" wrapText="1"/>
    </xf>
    <xf numFmtId="0" fontId="1" fillId="24" borderId="4" xfId="0" applyFont="1" applyFill="1" applyBorder="1" applyAlignment="1">
      <alignment horizontal="center" wrapText="1"/>
    </xf>
    <xf numFmtId="0" fontId="1" fillId="24" borderId="5" xfId="0" applyFont="1" applyFill="1" applyBorder="1" applyAlignment="1">
      <alignment horizontal="center" wrapText="1"/>
    </xf>
    <xf numFmtId="0" fontId="8" fillId="26" borderId="0" xfId="0" applyFont="1" applyFill="1" applyBorder="1" applyAlignment="1">
      <alignment wrapText="1"/>
    </xf>
    <xf numFmtId="0" fontId="8" fillId="0" borderId="0" xfId="0" applyFont="1" applyBorder="1" applyAlignment="1">
      <alignment wrapText="1"/>
    </xf>
    <xf numFmtId="0" fontId="20" fillId="44" borderId="1" xfId="0" applyFont="1" applyFill="1" applyBorder="1" applyAlignment="1">
      <alignment wrapText="1"/>
    </xf>
    <xf numFmtId="0" fontId="21" fillId="0" borderId="1" xfId="0" applyFont="1" applyBorder="1" applyAlignment="1">
      <alignment vertical="center" wrapText="1"/>
    </xf>
    <xf numFmtId="0" fontId="1" fillId="9" borderId="1" xfId="0" applyFont="1" applyFill="1" applyBorder="1" applyAlignment="1">
      <alignment vertical="center" wrapText="1"/>
    </xf>
    <xf numFmtId="0" fontId="1" fillId="9" borderId="1" xfId="0" applyFont="1" applyFill="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21" fillId="0" borderId="1" xfId="1" applyFont="1" applyBorder="1" applyAlignment="1">
      <alignment horizontal="left" vertical="center" wrapText="1"/>
    </xf>
    <xf numFmtId="0" fontId="1" fillId="9" borderId="1" xfId="0" applyFont="1" applyFill="1" applyBorder="1" applyAlignment="1">
      <alignment horizontal="left" vertical="center" wrapText="1"/>
    </xf>
    <xf numFmtId="0" fontId="21" fillId="0" borderId="1" xfId="0" applyFont="1" applyBorder="1" applyAlignment="1">
      <alignment horizontal="left" vertical="center" wrapText="1"/>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3" fillId="2" borderId="9" xfId="0" applyFont="1" applyFill="1" applyBorder="1" applyAlignment="1">
      <alignment wrapText="1"/>
    </xf>
    <xf numFmtId="0" fontId="1" fillId="9"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1" fillId="0" borderId="2" xfId="0" applyFont="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26" borderId="1" xfId="0" applyFill="1" applyBorder="1" applyAlignment="1">
      <alignment horizontal="center" vertical="center"/>
    </xf>
    <xf numFmtId="0" fontId="0" fillId="26" borderId="1" xfId="0" applyFill="1" applyBorder="1" applyAlignment="1">
      <alignment horizontal="center"/>
    </xf>
    <xf numFmtId="0" fontId="4" fillId="0" borderId="1" xfId="1" applyBorder="1" applyAlignment="1">
      <alignment vertical="center" wrapText="1"/>
    </xf>
    <xf numFmtId="0" fontId="1" fillId="0" borderId="0" xfId="0" applyFont="1" applyBorder="1" applyAlignment="1">
      <alignment horizontal="center" vertical="center" wrapText="1"/>
    </xf>
    <xf numFmtId="0" fontId="1" fillId="9" borderId="0" xfId="0" applyFont="1" applyFill="1" applyBorder="1" applyAlignment="1">
      <alignment horizontal="center" vertical="center" wrapText="1"/>
    </xf>
    <xf numFmtId="0" fontId="21" fillId="0" borderId="0" xfId="0" applyFont="1" applyBorder="1" applyAlignment="1">
      <alignment horizontal="left" vertical="center" wrapText="1"/>
    </xf>
    <xf numFmtId="0" fontId="21" fillId="0" borderId="6" xfId="0" applyFont="1" applyBorder="1" applyAlignment="1">
      <alignment vertical="center" wrapText="1"/>
    </xf>
    <xf numFmtId="0" fontId="1" fillId="0" borderId="0" xfId="0" applyFont="1" applyBorder="1" applyAlignment="1">
      <alignment horizontal="center" vertical="center"/>
    </xf>
    <xf numFmtId="0" fontId="1" fillId="9" borderId="0" xfId="0" applyFont="1" applyFill="1" applyBorder="1" applyAlignment="1">
      <alignment horizontal="center" vertical="center"/>
    </xf>
    <xf numFmtId="0" fontId="1" fillId="0" borderId="0" xfId="0" applyFont="1" applyBorder="1" applyAlignment="1">
      <alignment horizontal="left" vertical="center" wrapText="1"/>
    </xf>
    <xf numFmtId="0" fontId="1" fillId="9" borderId="0" xfId="0" applyFont="1" applyFill="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horizontal="left" vertical="center"/>
    </xf>
    <xf numFmtId="0" fontId="1" fillId="9" borderId="0" xfId="0" applyFont="1" applyFill="1" applyBorder="1" applyAlignment="1">
      <alignment vertical="center"/>
    </xf>
    <xf numFmtId="0" fontId="1" fillId="0" borderId="0" xfId="0" applyFont="1" applyBorder="1" applyAlignment="1">
      <alignment vertical="center"/>
    </xf>
    <xf numFmtId="0" fontId="21" fillId="0" borderId="2" xfId="0" applyFont="1" applyBorder="1" applyAlignment="1">
      <alignment vertical="center" wrapText="1"/>
    </xf>
    <xf numFmtId="0" fontId="1" fillId="9" borderId="0" xfId="0" applyFont="1" applyFill="1" applyBorder="1" applyAlignment="1">
      <alignment horizontal="left" vertical="center"/>
    </xf>
    <xf numFmtId="0" fontId="1" fillId="9" borderId="0" xfId="0" applyFont="1" applyFill="1" applyBorder="1" applyAlignment="1">
      <alignment horizontal="left" vertical="center" wrapText="1"/>
    </xf>
  </cellXfs>
  <cellStyles count="2">
    <cellStyle name="Hyperlink" xfId="1" builtinId="8"/>
    <cellStyle name="Normal" xfId="0" builtinId="0"/>
  </cellStyles>
  <dxfs count="130">
    <dxf>
      <font>
        <color rgb="FF006100"/>
      </font>
      <fill>
        <patternFill>
          <bgColor rgb="FFC6EFCE"/>
        </patternFill>
      </fill>
    </dxf>
    <dxf>
      <fill>
        <patternFill>
          <bgColor theme="0" tint="-0.14996795556505021"/>
        </patternFill>
      </fill>
    </dxf>
    <dxf>
      <font>
        <color theme="0" tint="-0.34998626667073579"/>
      </font>
      <fill>
        <patternFill>
          <bgColor theme="0" tint="-4.9989318521683403E-2"/>
        </patternFill>
      </fill>
    </dxf>
    <dxf>
      <font>
        <color rgb="FF006100"/>
      </font>
      <fill>
        <patternFill>
          <bgColor rgb="FFC6EFCE"/>
        </patternFill>
      </fill>
    </dxf>
    <dxf>
      <font>
        <color theme="0" tint="-0.34998626667073579"/>
      </font>
      <fill>
        <patternFill>
          <bgColor theme="0" tint="-4.9989318521683403E-2"/>
        </patternFill>
      </fill>
    </dxf>
    <dxf>
      <fill>
        <patternFill>
          <bgColor theme="0"/>
        </patternFill>
      </fill>
    </dxf>
    <dxf>
      <font>
        <color rgb="FF006100"/>
      </font>
      <fill>
        <patternFill>
          <bgColor rgb="FFC6EFCE"/>
        </patternFill>
      </fill>
    </dxf>
    <dxf>
      <font>
        <color theme="0" tint="-0.499984740745262"/>
      </font>
      <fill>
        <patternFill>
          <bgColor theme="0" tint="-4.9989318521683403E-2"/>
        </patternFill>
      </fill>
    </dxf>
    <dxf>
      <font>
        <color rgb="FF006100"/>
      </font>
      <fill>
        <patternFill>
          <bgColor rgb="FFC6EFCE"/>
        </patternFill>
      </fill>
    </dxf>
    <dxf>
      <font>
        <color theme="0" tint="-0.499984740745262"/>
      </font>
      <fill>
        <patternFill>
          <bgColor theme="0" tint="-4.9989318521683403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font>
      <alignment horizontal="center" vertical="center" textRotation="0" wrapText="1" indent="0" justifyLastLine="0" shrinkToFit="0" readingOrder="0"/>
    </dxf>
    <dxf>
      <font>
        <b/>
      </font>
      <alignment horizontal="left" vertical="center" textRotation="0" wrapText="0" indent="0" justifyLastLine="0" shrinkToFit="0" readingOrder="0"/>
    </dxf>
    <dxf>
      <font>
        <b/>
      </font>
      <alignment horizontal="left" vertical="center" textRotation="0" wrapText="0" indent="0" justifyLastLine="0" shrinkToFit="0" readingOrder="0"/>
    </dxf>
    <dxf>
      <font>
        <b/>
      </font>
      <alignment horizontal="left" vertical="center" textRotation="0" wrapText="0" indent="0" justifyLastLine="0" shrinkToFit="0" readingOrder="0"/>
    </dxf>
    <dxf>
      <font>
        <b/>
      </font>
      <alignment horizontal="general" vertical="center" textRotation="0" wrapText="0" indent="0" justifyLastLine="0" shrinkToFit="0" readingOrder="0"/>
    </dxf>
    <dxf>
      <font>
        <b/>
      </font>
      <alignment horizontal="left" vertical="center" textRotation="0" wrapText="0" indent="0" justifyLastLine="0" shrinkToFit="0" readingOrder="0"/>
    </dxf>
    <dxf>
      <font>
        <b/>
      </font>
      <alignment horizontal="left" vertical="center" textRotation="0" wrapText="1" indent="0" justifyLastLine="0" shrinkToFit="0" readingOrder="0"/>
    </dxf>
    <dxf>
      <font>
        <b/>
      </font>
      <alignment horizontal="left" vertical="center" textRotation="0" wrapText="1" indent="0" justifyLastLine="0" shrinkToFit="0" readingOrder="0"/>
    </dxf>
    <dxf>
      <font>
        <b/>
      </font>
      <alignment horizontal="center" vertical="center" textRotation="0" wrapText="0" indent="0" justifyLastLine="0" shrinkToFit="0" readingOrder="0"/>
    </dxf>
    <dxf>
      <font>
        <b/>
        <i val="0"/>
        <strike val="0"/>
        <condense val="0"/>
        <extend val="0"/>
        <outline val="0"/>
        <shadow val="0"/>
        <u val="none"/>
        <vertAlign val="baseline"/>
        <sz val="11"/>
        <color theme="1" tint="0.34998626667073579"/>
        <name val="Calibri"/>
        <family val="2"/>
        <scheme val="minor"/>
      </font>
      <alignment horizontal="left" vertical="center" textRotation="0" wrapText="1" indent="0" justifyLastLine="0" shrinkToFit="0" readingOrder="0"/>
    </dxf>
    <dxf>
      <border outline="0">
        <top style="thin">
          <color indexed="64"/>
        </top>
      </border>
    </dxf>
    <dxf>
      <font>
        <b/>
        <i val="0"/>
        <strike val="0"/>
        <condense val="0"/>
        <extend val="0"/>
        <outline val="0"/>
        <shadow val="0"/>
        <u val="none"/>
        <vertAlign val="baseline"/>
        <sz val="14"/>
        <color theme="1"/>
        <name val="Calibri"/>
        <family val="2"/>
        <scheme val="minor"/>
      </font>
      <fill>
        <patternFill patternType="solid">
          <fgColor indexed="64"/>
          <bgColor theme="0" tint="-0.34998626667073579"/>
        </patternFill>
      </fill>
      <alignment horizontal="general" vertical="center" textRotation="0" wrapText="0" indent="0" justifyLastLine="0" shrinkToFit="0" readingOrder="0"/>
      <border diagonalUp="0" diagonalDown="0" outline="0">
        <left style="thin">
          <color indexed="64"/>
        </left>
        <right style="thin">
          <color indexed="64"/>
        </right>
        <top/>
        <bottom/>
      </border>
    </dxf>
    <dxf>
      <border>
        <left style="thin">
          <color auto="1"/>
        </left>
        <right style="thin">
          <color auto="1"/>
        </right>
        <top style="thin">
          <color auto="1"/>
        </top>
        <bottom style="thin">
          <color auto="1"/>
        </bottom>
        <vertical style="thin">
          <color auto="1"/>
        </vertical>
        <horizontal style="thin">
          <color auto="1"/>
        </horizontal>
      </border>
    </dxf>
    <dxf>
      <fill>
        <patternFill>
          <bgColor theme="0" tint="-0.34998626667073579"/>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patternType="darkHorizontal">
          <fgColor theme="0" tint="-0.34998626667073579"/>
          <bgColor theme="0"/>
        </patternFill>
      </fill>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Table Style 1" pivot="0" count="1" xr9:uid="{DF00C389-F294-FB48-80B0-022781D38C47}">
      <tableStyleElement type="wholeTable" dxfId="129"/>
    </tableStyle>
    <tableStyle name="Table Style 2" pivot="0" count="4" xr9:uid="{66177898-DED3-9C47-8DA6-ABD521A19111}">
      <tableStyleElement type="wholeTable" dxfId="128"/>
      <tableStyleElement type="headerRow" dxfId="127"/>
      <tableStyleElement type="firstRowStripe" dxfId="126"/>
      <tableStyleElement type="secondRowStripe" dxfId="1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9355DD-35BE-3D46-8331-B67246AE3C74}" name="Table1" displayName="Table1" ref="C2:K22" totalsRowShown="0" headerRowDxfId="124" dataDxfId="114" tableBorderDxfId="123">
  <autoFilter ref="C2:K22" xr:uid="{1C9355DD-35BE-3D46-8331-B67246AE3C74}"/>
  <sortState xmlns:xlrd2="http://schemas.microsoft.com/office/spreadsheetml/2017/richdata2" ref="C3:K22">
    <sortCondition ref="E2:E22"/>
  </sortState>
  <tableColumns count="9">
    <tableColumn id="1" xr3:uid="{B697189A-DF2B-4341-9FF4-7259FA9252F8}" name="Tool Name" dataDxfId="113"/>
    <tableColumn id="2" xr3:uid="{F3B719A6-5185-6144-A373-7DD05C5FE758}" name="References" dataDxfId="122"/>
    <tableColumn id="3" xr3:uid="{271ED028-8F14-D741-A569-E2FEB926BB1C}" name="Year" dataDxfId="121"/>
    <tableColumn id="4" xr3:uid="{B7FF3EF8-B658-904B-8045-D98673D5126F}" name="Authors/Institution" dataDxfId="120"/>
    <tableColumn id="5" xr3:uid="{63D16556-412F-8B4C-BF7C-5FF77216838E}" name="Discovery Method" dataDxfId="119"/>
    <tableColumn id="6" xr3:uid="{946E4FD2-8FE0-9345-A39D-83A4386577DF}" name="Discovered From" dataDxfId="118"/>
    <tableColumn id="7" xr3:uid="{DF93B5C3-BD8E-D543-8F4C-AC0C5199BC07}" name="Selection Status" dataDxfId="117"/>
    <tableColumn id="8" xr3:uid="{03969A93-C0C5-BB4C-ACA8-090EAA97265A}" name="Exclusion Reason" dataDxfId="116"/>
    <tableColumn id="9" xr3:uid="{01558EB7-81C3-6642-A7E2-29E574F37760}" name="Short Description" dataDxfId="115"/>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aknostic.com/ke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K107"/>
  <sheetViews>
    <sheetView topLeftCell="A11" zoomScale="75" zoomScaleNormal="82" workbookViewId="0">
      <selection activeCell="E20" sqref="E20"/>
    </sheetView>
  </sheetViews>
  <sheetFormatPr baseColWidth="10" defaultColWidth="8.83203125" defaultRowHeight="15" x14ac:dyDescent="0.2"/>
  <cols>
    <col min="1" max="1" width="7" style="7" bestFit="1" customWidth="1"/>
    <col min="2" max="2" width="8.5" style="7" customWidth="1"/>
    <col min="3" max="3" width="25.33203125" style="9" customWidth="1"/>
    <col min="4" max="4" width="219.33203125" style="11" customWidth="1"/>
    <col min="5" max="5" width="15" style="7" customWidth="1"/>
    <col min="6" max="6" width="28" style="9" bestFit="1" customWidth="1"/>
    <col min="7" max="7" width="29" style="9" bestFit="1" customWidth="1"/>
    <col min="8" max="8" width="24.1640625" style="7" bestFit="1" customWidth="1"/>
    <col min="9" max="9" width="10.6640625" style="7" bestFit="1" customWidth="1"/>
    <col min="10" max="10" width="28.6640625" style="7" customWidth="1"/>
    <col min="11" max="11" width="98.6640625" style="7" customWidth="1"/>
    <col min="12" max="16384" width="8.83203125" style="7"/>
  </cols>
  <sheetData>
    <row r="2" spans="2:11" ht="20" x14ac:dyDescent="0.25">
      <c r="B2"/>
      <c r="C2" s="244" t="s">
        <v>16</v>
      </c>
      <c r="D2" s="17" t="s">
        <v>11</v>
      </c>
      <c r="E2" s="18" t="s">
        <v>0</v>
      </c>
      <c r="F2" s="19" t="s">
        <v>1</v>
      </c>
      <c r="G2" s="19" t="s">
        <v>17</v>
      </c>
      <c r="H2" s="18" t="s">
        <v>18</v>
      </c>
      <c r="I2" s="18" t="s">
        <v>19</v>
      </c>
      <c r="J2" s="18" t="s">
        <v>20</v>
      </c>
      <c r="K2" s="18" t="s">
        <v>21</v>
      </c>
    </row>
    <row r="3" spans="2:11" ht="208" x14ac:dyDescent="0.2">
      <c r="B3"/>
      <c r="C3" s="246" t="s">
        <v>154</v>
      </c>
      <c r="D3" s="238" t="s">
        <v>395</v>
      </c>
      <c r="E3" s="231">
        <v>1999</v>
      </c>
      <c r="F3" s="234" t="s">
        <v>396</v>
      </c>
      <c r="G3" s="234" t="s">
        <v>92</v>
      </c>
      <c r="H3" s="235"/>
      <c r="I3" s="233" t="s">
        <v>99</v>
      </c>
      <c r="J3" s="235"/>
      <c r="K3" s="234" t="s">
        <v>397</v>
      </c>
    </row>
    <row r="4" spans="2:11" ht="64" x14ac:dyDescent="0.2">
      <c r="B4"/>
      <c r="C4" s="246" t="s">
        <v>34</v>
      </c>
      <c r="D4" s="236" t="s">
        <v>89</v>
      </c>
      <c r="E4" s="231">
        <v>2010</v>
      </c>
      <c r="F4" s="234" t="s">
        <v>59</v>
      </c>
      <c r="G4" s="234" t="s">
        <v>356</v>
      </c>
      <c r="H4" s="235" t="s">
        <v>31</v>
      </c>
      <c r="I4" s="233" t="s">
        <v>99</v>
      </c>
      <c r="J4" s="235" t="s">
        <v>101</v>
      </c>
      <c r="K4" s="234" t="s">
        <v>95</v>
      </c>
    </row>
    <row r="5" spans="2:11" ht="64" x14ac:dyDescent="0.2">
      <c r="B5"/>
      <c r="C5" s="246" t="s">
        <v>168</v>
      </c>
      <c r="D5" s="228" t="s">
        <v>46</v>
      </c>
      <c r="E5" s="231">
        <v>2012</v>
      </c>
      <c r="F5" s="234" t="s">
        <v>90</v>
      </c>
      <c r="G5" s="234" t="s">
        <v>49</v>
      </c>
      <c r="H5" s="234" t="s">
        <v>50</v>
      </c>
      <c r="I5" s="233" t="s">
        <v>26</v>
      </c>
      <c r="J5" s="235" t="s">
        <v>31</v>
      </c>
      <c r="K5" s="234" t="s">
        <v>88</v>
      </c>
    </row>
    <row r="6" spans="2:11" ht="144" x14ac:dyDescent="0.2">
      <c r="B6"/>
      <c r="C6" s="246" t="s">
        <v>35</v>
      </c>
      <c r="D6" s="238" t="s">
        <v>370</v>
      </c>
      <c r="E6" s="231">
        <v>2014</v>
      </c>
      <c r="F6" s="234" t="s">
        <v>59</v>
      </c>
      <c r="G6" s="234" t="s">
        <v>92</v>
      </c>
      <c r="H6" s="235" t="s">
        <v>164</v>
      </c>
      <c r="I6" s="233" t="s">
        <v>99</v>
      </c>
      <c r="J6" s="235" t="s">
        <v>101</v>
      </c>
      <c r="K6" s="234" t="s">
        <v>368</v>
      </c>
    </row>
    <row r="7" spans="2:11" ht="240" x14ac:dyDescent="0.2">
      <c r="B7"/>
      <c r="C7" s="246" t="s">
        <v>38</v>
      </c>
      <c r="D7" s="238" t="s">
        <v>170</v>
      </c>
      <c r="E7" s="231">
        <v>2015</v>
      </c>
      <c r="F7" s="234" t="s">
        <v>165</v>
      </c>
      <c r="G7" s="234" t="s">
        <v>92</v>
      </c>
      <c r="H7" s="235" t="s">
        <v>164</v>
      </c>
      <c r="I7" s="230" t="s">
        <v>26</v>
      </c>
      <c r="J7" s="235" t="s">
        <v>31</v>
      </c>
      <c r="K7" s="234" t="s">
        <v>167</v>
      </c>
    </row>
    <row r="8" spans="2:11" ht="365" x14ac:dyDescent="0.2">
      <c r="B8"/>
      <c r="C8" s="246" t="s">
        <v>37</v>
      </c>
      <c r="D8" s="238" t="s">
        <v>192</v>
      </c>
      <c r="E8" s="231">
        <v>2015</v>
      </c>
      <c r="F8" s="234" t="s">
        <v>185</v>
      </c>
      <c r="G8" s="234" t="s">
        <v>92</v>
      </c>
      <c r="H8" s="235" t="s">
        <v>164</v>
      </c>
      <c r="I8" s="233" t="s">
        <v>26</v>
      </c>
      <c r="J8" s="235" t="s">
        <v>31</v>
      </c>
      <c r="K8" s="234" t="s">
        <v>186</v>
      </c>
    </row>
    <row r="9" spans="2:11" ht="128" x14ac:dyDescent="0.2">
      <c r="B9"/>
      <c r="C9" s="246" t="s">
        <v>40</v>
      </c>
      <c r="D9" s="238" t="s">
        <v>384</v>
      </c>
      <c r="E9" s="231">
        <v>2015</v>
      </c>
      <c r="F9" s="234" t="s">
        <v>375</v>
      </c>
      <c r="G9" s="234" t="s">
        <v>92</v>
      </c>
      <c r="H9" s="235" t="s">
        <v>164</v>
      </c>
      <c r="I9" s="233" t="s">
        <v>26</v>
      </c>
      <c r="J9" s="235" t="s">
        <v>31</v>
      </c>
      <c r="K9" s="234" t="s">
        <v>385</v>
      </c>
    </row>
    <row r="10" spans="2:11" ht="80" x14ac:dyDescent="0.2">
      <c r="B10"/>
      <c r="C10" s="246" t="s">
        <v>41</v>
      </c>
      <c r="D10" s="256" t="s">
        <v>386</v>
      </c>
      <c r="E10" s="231">
        <v>2016</v>
      </c>
      <c r="F10" s="234" t="s">
        <v>387</v>
      </c>
      <c r="G10" s="234" t="s">
        <v>92</v>
      </c>
      <c r="H10" s="235" t="s">
        <v>164</v>
      </c>
      <c r="I10" s="233" t="s">
        <v>99</v>
      </c>
      <c r="J10" s="235" t="s">
        <v>389</v>
      </c>
      <c r="K10" s="234" t="s">
        <v>388</v>
      </c>
    </row>
    <row r="11" spans="2:11" ht="64" x14ac:dyDescent="0.2">
      <c r="B11"/>
      <c r="C11" s="246" t="s">
        <v>42</v>
      </c>
      <c r="D11" s="238" t="s">
        <v>390</v>
      </c>
      <c r="E11" s="231">
        <v>2016</v>
      </c>
      <c r="F11" s="234" t="s">
        <v>391</v>
      </c>
      <c r="G11" s="234" t="s">
        <v>92</v>
      </c>
      <c r="H11" s="235" t="s">
        <v>164</v>
      </c>
      <c r="I11" s="233" t="s">
        <v>99</v>
      </c>
      <c r="J11" s="235" t="s">
        <v>392</v>
      </c>
      <c r="K11" s="234" t="s">
        <v>393</v>
      </c>
    </row>
    <row r="12" spans="2:11" ht="64" x14ac:dyDescent="0.2">
      <c r="B12"/>
      <c r="C12" s="246" t="s">
        <v>94</v>
      </c>
      <c r="D12" s="228" t="s">
        <v>29</v>
      </c>
      <c r="E12" s="231">
        <v>2017</v>
      </c>
      <c r="F12" s="234" t="s">
        <v>163</v>
      </c>
      <c r="G12" s="234" t="s">
        <v>92</v>
      </c>
      <c r="H12" s="235" t="s">
        <v>91</v>
      </c>
      <c r="I12" s="233" t="s">
        <v>99</v>
      </c>
      <c r="J12" s="235" t="s">
        <v>101</v>
      </c>
      <c r="K12" s="234" t="s">
        <v>162</v>
      </c>
    </row>
    <row r="13" spans="2:11" ht="64" x14ac:dyDescent="0.2">
      <c r="B13"/>
      <c r="C13" s="255" t="s">
        <v>28</v>
      </c>
      <c r="D13" s="228" t="s">
        <v>29</v>
      </c>
      <c r="E13" s="259">
        <v>2020</v>
      </c>
      <c r="F13" s="237" t="s">
        <v>160</v>
      </c>
      <c r="G13" s="237" t="s">
        <v>92</v>
      </c>
      <c r="H13" s="267" t="s">
        <v>91</v>
      </c>
      <c r="I13" s="230" t="s">
        <v>26</v>
      </c>
      <c r="J13" s="267" t="s">
        <v>31</v>
      </c>
      <c r="K13" s="268" t="s">
        <v>161</v>
      </c>
    </row>
    <row r="14" spans="2:11" ht="64" x14ac:dyDescent="0.2">
      <c r="B14" s="6"/>
      <c r="C14" s="254" t="s">
        <v>36</v>
      </c>
      <c r="D14" s="238" t="s">
        <v>371</v>
      </c>
      <c r="E14" s="239">
        <v>2020</v>
      </c>
      <c r="F14" s="260" t="s">
        <v>369</v>
      </c>
      <c r="G14" s="234" t="s">
        <v>92</v>
      </c>
      <c r="H14" s="235" t="s">
        <v>164</v>
      </c>
      <c r="I14" s="233" t="s">
        <v>99</v>
      </c>
      <c r="J14" s="243" t="s">
        <v>360</v>
      </c>
      <c r="K14" s="242" t="s">
        <v>372</v>
      </c>
    </row>
    <row r="15" spans="2:11" ht="101" customHeight="1" x14ac:dyDescent="0.2">
      <c r="B15" s="6"/>
      <c r="C15" s="254" t="s">
        <v>212</v>
      </c>
      <c r="D15" s="238" t="s">
        <v>171</v>
      </c>
      <c r="E15" s="258">
        <v>2021</v>
      </c>
      <c r="F15" s="260" t="s">
        <v>184</v>
      </c>
      <c r="G15" s="260" t="s">
        <v>92</v>
      </c>
      <c r="H15" s="263" t="s">
        <v>164</v>
      </c>
      <c r="I15" s="233" t="s">
        <v>26</v>
      </c>
      <c r="J15" s="263" t="s">
        <v>31</v>
      </c>
      <c r="K15" s="260" t="s">
        <v>223</v>
      </c>
    </row>
    <row r="16" spans="2:11" ht="48" x14ac:dyDescent="0.2">
      <c r="B16" s="6"/>
      <c r="C16" s="245" t="s">
        <v>23</v>
      </c>
      <c r="D16" s="228" t="s">
        <v>47</v>
      </c>
      <c r="E16" s="259">
        <v>2022</v>
      </c>
      <c r="F16" s="261" t="s">
        <v>24</v>
      </c>
      <c r="G16" s="229" t="s">
        <v>25</v>
      </c>
      <c r="H16" s="264" t="s">
        <v>31</v>
      </c>
      <c r="I16" s="230" t="s">
        <v>26</v>
      </c>
      <c r="J16" s="230" t="s">
        <v>31</v>
      </c>
      <c r="K16" s="261" t="s">
        <v>87</v>
      </c>
    </row>
    <row r="17" spans="2:11" ht="80" x14ac:dyDescent="0.2">
      <c r="B17" s="6"/>
      <c r="C17" s="247" t="s">
        <v>27</v>
      </c>
      <c r="D17" s="257" t="s">
        <v>48</v>
      </c>
      <c r="E17" s="258">
        <v>2023</v>
      </c>
      <c r="F17" s="262" t="s">
        <v>30</v>
      </c>
      <c r="G17" s="232" t="s">
        <v>25</v>
      </c>
      <c r="H17" s="265" t="s">
        <v>31</v>
      </c>
      <c r="I17" s="233" t="s">
        <v>26</v>
      </c>
      <c r="J17" s="265" t="s">
        <v>31</v>
      </c>
      <c r="K17" s="262" t="s">
        <v>32</v>
      </c>
    </row>
    <row r="18" spans="2:11" ht="240" x14ac:dyDescent="0.2">
      <c r="B18" s="6"/>
      <c r="C18" s="248" t="s">
        <v>97</v>
      </c>
      <c r="D18" s="266" t="s">
        <v>96</v>
      </c>
      <c r="E18" s="258">
        <v>2025</v>
      </c>
      <c r="F18" s="260" t="s">
        <v>98</v>
      </c>
      <c r="G18" s="234" t="s">
        <v>49</v>
      </c>
      <c r="H18" s="263" t="s">
        <v>31</v>
      </c>
      <c r="I18" s="233" t="s">
        <v>99</v>
      </c>
      <c r="J18" s="260" t="s">
        <v>361</v>
      </c>
      <c r="K18" s="260" t="s">
        <v>166</v>
      </c>
    </row>
    <row r="19" spans="2:11" ht="64" x14ac:dyDescent="0.2">
      <c r="B19" s="6"/>
      <c r="C19" s="247" t="s">
        <v>206</v>
      </c>
      <c r="D19" s="238"/>
      <c r="E19" s="240">
        <v>2026</v>
      </c>
      <c r="F19" s="260" t="s">
        <v>184</v>
      </c>
      <c r="G19" s="234" t="s">
        <v>229</v>
      </c>
      <c r="H19" s="25" t="s">
        <v>230</v>
      </c>
      <c r="I19" s="233" t="s">
        <v>26</v>
      </c>
      <c r="J19" s="240" t="s">
        <v>31</v>
      </c>
      <c r="K19" s="241" t="s">
        <v>234</v>
      </c>
    </row>
    <row r="20" spans="2:11" ht="48" x14ac:dyDescent="0.2">
      <c r="B20" s="6"/>
      <c r="C20" s="248" t="s">
        <v>43</v>
      </c>
      <c r="D20" s="238"/>
      <c r="E20" s="239"/>
      <c r="F20" s="242"/>
      <c r="G20" s="234" t="s">
        <v>92</v>
      </c>
      <c r="H20" s="263" t="s">
        <v>164</v>
      </c>
      <c r="I20" s="233" t="s">
        <v>99</v>
      </c>
      <c r="J20" s="243" t="s">
        <v>360</v>
      </c>
      <c r="K20" s="242" t="s">
        <v>394</v>
      </c>
    </row>
    <row r="21" spans="2:11" ht="16" x14ac:dyDescent="0.2">
      <c r="B21" s="6"/>
      <c r="C21" s="247" t="s">
        <v>304</v>
      </c>
      <c r="D21" s="238"/>
      <c r="E21" s="239"/>
      <c r="F21" s="242"/>
      <c r="G21" s="234"/>
      <c r="H21" s="243"/>
      <c r="I21" s="233"/>
      <c r="J21" s="243"/>
      <c r="K21" s="243"/>
    </row>
    <row r="22" spans="2:11" ht="64" x14ac:dyDescent="0.2">
      <c r="B22" s="6"/>
      <c r="C22" s="254" t="s">
        <v>39</v>
      </c>
      <c r="D22" s="256" t="s">
        <v>374</v>
      </c>
      <c r="E22" s="239"/>
      <c r="F22" s="242"/>
      <c r="G22" s="234" t="s">
        <v>92</v>
      </c>
      <c r="H22" s="243" t="s">
        <v>164</v>
      </c>
      <c r="I22" s="233" t="s">
        <v>99</v>
      </c>
      <c r="J22" s="242" t="s">
        <v>376</v>
      </c>
      <c r="K22" s="242" t="s">
        <v>373</v>
      </c>
    </row>
    <row r="23" spans="2:11" x14ac:dyDescent="0.2">
      <c r="B23" s="6"/>
      <c r="C23" s="249"/>
      <c r="D23" s="16"/>
      <c r="E23" s="6"/>
      <c r="F23" s="11"/>
      <c r="G23" s="11"/>
      <c r="H23" s="10"/>
      <c r="J23" s="10"/>
    </row>
    <row r="24" spans="2:11" x14ac:dyDescent="0.2">
      <c r="B24" s="6"/>
      <c r="C24" s="249"/>
      <c r="D24" s="16"/>
      <c r="E24" s="6"/>
      <c r="F24" s="11"/>
      <c r="G24" s="11"/>
      <c r="H24" s="10"/>
    </row>
    <row r="25" spans="2:11" x14ac:dyDescent="0.2">
      <c r="B25" s="6"/>
      <c r="C25" s="249"/>
      <c r="D25" s="16"/>
      <c r="E25" s="6"/>
      <c r="F25" s="11"/>
      <c r="G25" s="11"/>
      <c r="H25" s="10"/>
    </row>
    <row r="26" spans="2:11" x14ac:dyDescent="0.2">
      <c r="B26" s="6"/>
      <c r="C26" s="249"/>
      <c r="D26" s="16"/>
      <c r="E26" s="6"/>
      <c r="F26" s="11"/>
      <c r="G26" s="11"/>
      <c r="H26" s="10"/>
    </row>
    <row r="27" spans="2:11" x14ac:dyDescent="0.2">
      <c r="B27" s="6"/>
      <c r="C27" s="249"/>
      <c r="D27" s="16"/>
      <c r="F27" s="11"/>
      <c r="G27" s="11"/>
      <c r="H27" s="10"/>
    </row>
    <row r="28" spans="2:11" x14ac:dyDescent="0.2">
      <c r="B28" s="6"/>
      <c r="C28" s="49"/>
      <c r="D28"/>
      <c r="F28" s="11"/>
      <c r="G28" s="11"/>
      <c r="H28" s="10"/>
    </row>
    <row r="29" spans="2:11" x14ac:dyDescent="0.2">
      <c r="B29" s="6"/>
      <c r="C29" s="49"/>
      <c r="D29"/>
      <c r="F29" s="11"/>
      <c r="G29" s="11"/>
    </row>
    <row r="30" spans="2:11" x14ac:dyDescent="0.2">
      <c r="B30" s="6"/>
      <c r="C30" s="49"/>
      <c r="D30"/>
      <c r="G30" s="11"/>
    </row>
    <row r="31" spans="2:11" x14ac:dyDescent="0.2">
      <c r="B31" s="6"/>
      <c r="C31" s="249"/>
      <c r="D31" s="34"/>
      <c r="G31" s="11"/>
    </row>
    <row r="32" spans="2:11" x14ac:dyDescent="0.2">
      <c r="B32" s="6"/>
      <c r="C32" s="249"/>
      <c r="D32" s="34"/>
      <c r="G32" s="11"/>
    </row>
    <row r="33" spans="2:5" x14ac:dyDescent="0.2">
      <c r="B33" s="6"/>
      <c r="C33" s="49"/>
      <c r="D33"/>
      <c r="E33"/>
    </row>
    <row r="34" spans="2:5" x14ac:dyDescent="0.2">
      <c r="C34" s="49"/>
      <c r="D34"/>
    </row>
    <row r="36" spans="2:5" x14ac:dyDescent="0.2">
      <c r="C36" s="49"/>
      <c r="D36"/>
    </row>
    <row r="37" spans="2:5" x14ac:dyDescent="0.2">
      <c r="C37" s="49"/>
      <c r="D37"/>
    </row>
    <row r="38" spans="2:5" x14ac:dyDescent="0.2">
      <c r="C38" s="49"/>
      <c r="D38"/>
    </row>
    <row r="39" spans="2:5" x14ac:dyDescent="0.2">
      <c r="C39" s="49"/>
      <c r="D39"/>
    </row>
    <row r="40" spans="2:5" x14ac:dyDescent="0.2">
      <c r="C40" s="49"/>
      <c r="D40"/>
    </row>
    <row r="41" spans="2:5" ht="32" x14ac:dyDescent="0.2">
      <c r="C41" s="8" t="s">
        <v>152</v>
      </c>
      <c r="D41" s="33" t="s">
        <v>153</v>
      </c>
    </row>
    <row r="42" spans="2:5" ht="16" x14ac:dyDescent="0.2">
      <c r="C42" s="8" t="s">
        <v>156</v>
      </c>
      <c r="D42" s="33" t="s">
        <v>155</v>
      </c>
    </row>
    <row r="43" spans="2:5" ht="16" x14ac:dyDescent="0.2">
      <c r="C43" s="8" t="s">
        <v>157</v>
      </c>
      <c r="D43" s="33" t="s">
        <v>155</v>
      </c>
    </row>
    <row r="44" spans="2:5" ht="16" x14ac:dyDescent="0.2">
      <c r="C44" s="8" t="s">
        <v>158</v>
      </c>
      <c r="D44" s="33" t="s">
        <v>155</v>
      </c>
    </row>
    <row r="45" spans="2:5" ht="16" x14ac:dyDescent="0.2">
      <c r="C45" s="8" t="s">
        <v>159</v>
      </c>
      <c r="D45" s="33" t="s">
        <v>155</v>
      </c>
    </row>
    <row r="46" spans="2:5" ht="16" x14ac:dyDescent="0.2">
      <c r="C46" s="250" t="s">
        <v>33</v>
      </c>
      <c r="D46" s="33"/>
    </row>
    <row r="47" spans="2:5" ht="16" x14ac:dyDescent="0.2">
      <c r="C47" s="253" t="s">
        <v>117</v>
      </c>
      <c r="D47" s="33"/>
    </row>
    <row r="48" spans="2:5" ht="48" x14ac:dyDescent="0.2">
      <c r="C48" s="8" t="s">
        <v>172</v>
      </c>
      <c r="D48" s="33" t="s">
        <v>173</v>
      </c>
    </row>
    <row r="49" spans="3:4" ht="32" x14ac:dyDescent="0.2">
      <c r="C49" s="8" t="s">
        <v>118</v>
      </c>
      <c r="D49" s="33" t="s">
        <v>174</v>
      </c>
    </row>
    <row r="50" spans="3:4" ht="32" x14ac:dyDescent="0.2">
      <c r="C50" s="8" t="s">
        <v>175</v>
      </c>
      <c r="D50" s="33" t="s">
        <v>176</v>
      </c>
    </row>
    <row r="51" spans="3:4" ht="32" x14ac:dyDescent="0.2">
      <c r="C51" s="8" t="s">
        <v>177</v>
      </c>
      <c r="D51" s="33" t="s">
        <v>178</v>
      </c>
    </row>
    <row r="52" spans="3:4" x14ac:dyDescent="0.2">
      <c r="D52"/>
    </row>
    <row r="53" spans="3:4" x14ac:dyDescent="0.2">
      <c r="D53"/>
    </row>
    <row r="54" spans="3:4" x14ac:dyDescent="0.2">
      <c r="D54"/>
    </row>
    <row r="55" spans="3:4" x14ac:dyDescent="0.2">
      <c r="D55"/>
    </row>
    <row r="56" spans="3:4" x14ac:dyDescent="0.2">
      <c r="D56"/>
    </row>
    <row r="57" spans="3:4" x14ac:dyDescent="0.2">
      <c r="D57"/>
    </row>
    <row r="58" spans="3:4" x14ac:dyDescent="0.2">
      <c r="D58"/>
    </row>
    <row r="59" spans="3:4" x14ac:dyDescent="0.2">
      <c r="D59"/>
    </row>
    <row r="60" spans="3:4" x14ac:dyDescent="0.2">
      <c r="D60"/>
    </row>
    <row r="61" spans="3:4" x14ac:dyDescent="0.2">
      <c r="D61"/>
    </row>
    <row r="62" spans="3:4" x14ac:dyDescent="0.2">
      <c r="D62"/>
    </row>
    <row r="63" spans="3:4" x14ac:dyDescent="0.2">
      <c r="D63"/>
    </row>
    <row r="64" spans="3:4" x14ac:dyDescent="0.2">
      <c r="D64"/>
    </row>
    <row r="65" spans="4:4" x14ac:dyDescent="0.2">
      <c r="D65"/>
    </row>
    <row r="66" spans="4:4" x14ac:dyDescent="0.2">
      <c r="D66"/>
    </row>
    <row r="67" spans="4:4" x14ac:dyDescent="0.2">
      <c r="D67"/>
    </row>
    <row r="68" spans="4:4" x14ac:dyDescent="0.2">
      <c r="D68"/>
    </row>
    <row r="69" spans="4:4" x14ac:dyDescent="0.2">
      <c r="D69"/>
    </row>
    <row r="70" spans="4:4" x14ac:dyDescent="0.2">
      <c r="D70"/>
    </row>
    <row r="71" spans="4:4" x14ac:dyDescent="0.2">
      <c r="D71"/>
    </row>
    <row r="72" spans="4:4" x14ac:dyDescent="0.2">
      <c r="D72"/>
    </row>
    <row r="73" spans="4:4" x14ac:dyDescent="0.2">
      <c r="D73"/>
    </row>
    <row r="74" spans="4:4" x14ac:dyDescent="0.2">
      <c r="D74"/>
    </row>
    <row r="75" spans="4:4" x14ac:dyDescent="0.2">
      <c r="D75"/>
    </row>
    <row r="76" spans="4:4" x14ac:dyDescent="0.2">
      <c r="D76"/>
    </row>
    <row r="77" spans="4:4" x14ac:dyDescent="0.2">
      <c r="D77"/>
    </row>
    <row r="78" spans="4:4" x14ac:dyDescent="0.2">
      <c r="D78"/>
    </row>
    <row r="79" spans="4:4" x14ac:dyDescent="0.2">
      <c r="D79"/>
    </row>
    <row r="80" spans="4:4" x14ac:dyDescent="0.2">
      <c r="D80"/>
    </row>
    <row r="81" spans="4:4" x14ac:dyDescent="0.2">
      <c r="D81"/>
    </row>
    <row r="82" spans="4:4" x14ac:dyDescent="0.2">
      <c r="D82"/>
    </row>
    <row r="83" spans="4:4" x14ac:dyDescent="0.2">
      <c r="D83"/>
    </row>
    <row r="84" spans="4:4" x14ac:dyDescent="0.2">
      <c r="D84"/>
    </row>
    <row r="85" spans="4:4" x14ac:dyDescent="0.2">
      <c r="D85"/>
    </row>
    <row r="86" spans="4:4" x14ac:dyDescent="0.2">
      <c r="D86"/>
    </row>
    <row r="87" spans="4:4" x14ac:dyDescent="0.2">
      <c r="D87"/>
    </row>
    <row r="88" spans="4:4" x14ac:dyDescent="0.2">
      <c r="D88"/>
    </row>
    <row r="89" spans="4:4" x14ac:dyDescent="0.2">
      <c r="D89"/>
    </row>
    <row r="90" spans="4:4" x14ac:dyDescent="0.2">
      <c r="D90"/>
    </row>
    <row r="91" spans="4:4" x14ac:dyDescent="0.2">
      <c r="D91"/>
    </row>
    <row r="92" spans="4:4" x14ac:dyDescent="0.2">
      <c r="D92"/>
    </row>
    <row r="93" spans="4:4" x14ac:dyDescent="0.2">
      <c r="D93"/>
    </row>
    <row r="94" spans="4:4" x14ac:dyDescent="0.2">
      <c r="D94"/>
    </row>
    <row r="95" spans="4:4" x14ac:dyDescent="0.2">
      <c r="D95"/>
    </row>
    <row r="96" spans="4:4" x14ac:dyDescent="0.2">
      <c r="D96"/>
    </row>
    <row r="97" spans="4:4" x14ac:dyDescent="0.2">
      <c r="D97"/>
    </row>
    <row r="98" spans="4:4" x14ac:dyDescent="0.2">
      <c r="D98"/>
    </row>
    <row r="99" spans="4:4" x14ac:dyDescent="0.2">
      <c r="D99"/>
    </row>
    <row r="100" spans="4:4" x14ac:dyDescent="0.2">
      <c r="D100"/>
    </row>
    <row r="101" spans="4:4" x14ac:dyDescent="0.2">
      <c r="D101"/>
    </row>
    <row r="102" spans="4:4" x14ac:dyDescent="0.2">
      <c r="D102"/>
    </row>
    <row r="103" spans="4:4" x14ac:dyDescent="0.2">
      <c r="D103"/>
    </row>
    <row r="104" spans="4:4" x14ac:dyDescent="0.2">
      <c r="D104"/>
    </row>
    <row r="105" spans="4:4" x14ac:dyDescent="0.2">
      <c r="D105"/>
    </row>
    <row r="106" spans="4:4" x14ac:dyDescent="0.2">
      <c r="D106"/>
    </row>
    <row r="107" spans="4:4" x14ac:dyDescent="0.2">
      <c r="D107"/>
    </row>
  </sheetData>
  <conditionalFormatting sqref="I3:I22">
    <cfRule type="beginsWith" dxfId="112" priority="1" operator="beginsWith" text="Not">
      <formula>LEFT(I3,LEN("Not"))="Not"</formula>
    </cfRule>
    <cfRule type="beginsWith" dxfId="111" priority="2" operator="beginsWith" text="Selected">
      <formula>LEFT(I3,LEN("Selected"))="Selected"</formula>
    </cfRule>
  </conditionalFormatting>
  <hyperlinks>
    <hyperlink ref="C47" r:id="rId1" xr:uid="{7087AB48-DBC8-F449-8CDC-FDC7591AB865}"/>
  </hyperlinks>
  <pageMargins left="0.75" right="0.75" top="1" bottom="1" header="0.5" footer="0.5"/>
  <pageSetup paperSize="9" orientation="portrait" horizontalDpi="0" verticalDpi="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I23"/>
  <sheetViews>
    <sheetView workbookViewId="0">
      <selection activeCell="C27" sqref="C27"/>
    </sheetView>
  </sheetViews>
  <sheetFormatPr baseColWidth="10" defaultColWidth="8.83203125" defaultRowHeight="15" x14ac:dyDescent="0.2"/>
  <cols>
    <col min="1" max="1" width="7" bestFit="1" customWidth="1"/>
    <col min="2" max="2" width="17.83203125" customWidth="1"/>
    <col min="3" max="3" width="40.5" customWidth="1"/>
    <col min="4" max="4" width="29.83203125" bestFit="1" customWidth="1"/>
    <col min="5" max="5" width="37.1640625" customWidth="1"/>
    <col min="6" max="6" width="22.5" bestFit="1" customWidth="1"/>
    <col min="7" max="7" width="21.5" bestFit="1" customWidth="1"/>
    <col min="8" max="8" width="21.5" customWidth="1"/>
    <col min="9" max="9" width="13.1640625" bestFit="1" customWidth="1"/>
  </cols>
  <sheetData>
    <row r="2" spans="2:9" x14ac:dyDescent="0.2">
      <c r="B2" s="1" t="s">
        <v>16</v>
      </c>
      <c r="C2" s="2" t="s">
        <v>12</v>
      </c>
      <c r="D2" s="2" t="s">
        <v>357</v>
      </c>
      <c r="E2" s="2" t="s">
        <v>358</v>
      </c>
      <c r="F2" s="3" t="s">
        <v>13</v>
      </c>
      <c r="G2" s="3" t="s">
        <v>14</v>
      </c>
      <c r="H2" s="3" t="s">
        <v>360</v>
      </c>
      <c r="I2" s="5" t="s">
        <v>15</v>
      </c>
    </row>
    <row r="3" spans="2:9" x14ac:dyDescent="0.2">
      <c r="B3" s="251" t="s">
        <v>23</v>
      </c>
      <c r="C3" s="4" t="s">
        <v>51</v>
      </c>
      <c r="D3" s="4" t="s">
        <v>51</v>
      </c>
      <c r="E3" s="4" t="s">
        <v>51</v>
      </c>
      <c r="F3" s="4" t="s">
        <v>100</v>
      </c>
      <c r="G3" s="4" t="s">
        <v>100</v>
      </c>
      <c r="H3" s="4" t="s">
        <v>100</v>
      </c>
      <c r="I3" s="4" t="str">
        <f>IF(AND(C3="yes",D3="yes",E3="yes",F3="no",G3="no",H3="no"),"Selected","Not Selected")</f>
        <v>Selected</v>
      </c>
    </row>
    <row r="4" spans="2:9" x14ac:dyDescent="0.2">
      <c r="B4" s="251" t="s">
        <v>27</v>
      </c>
      <c r="C4" s="4" t="s">
        <v>51</v>
      </c>
      <c r="D4" s="4" t="s">
        <v>51</v>
      </c>
      <c r="E4" s="4" t="s">
        <v>51</v>
      </c>
      <c r="F4" s="4" t="s">
        <v>100</v>
      </c>
      <c r="G4" s="4" t="s">
        <v>100</v>
      </c>
      <c r="H4" s="4" t="s">
        <v>100</v>
      </c>
      <c r="I4" s="4" t="str">
        <f t="shared" ref="I4:I21" si="0">IF(AND(C4="yes",D4="yes",E4="yes",F4="no",G4="no",H4="no"),"Selected","Not Selected")</f>
        <v>Selected</v>
      </c>
    </row>
    <row r="5" spans="2:9" x14ac:dyDescent="0.2">
      <c r="B5" s="251" t="s">
        <v>45</v>
      </c>
      <c r="C5" s="4" t="s">
        <v>51</v>
      </c>
      <c r="D5" s="4" t="s">
        <v>51</v>
      </c>
      <c r="E5" s="4" t="s">
        <v>51</v>
      </c>
      <c r="F5" s="4" t="s">
        <v>100</v>
      </c>
      <c r="G5" s="4" t="s">
        <v>100</v>
      </c>
      <c r="H5" s="4" t="s">
        <v>100</v>
      </c>
      <c r="I5" s="4" t="str">
        <f t="shared" si="0"/>
        <v>Selected</v>
      </c>
    </row>
    <row r="6" spans="2:9" x14ac:dyDescent="0.2">
      <c r="B6" s="251" t="s">
        <v>34</v>
      </c>
      <c r="C6" s="4" t="s">
        <v>51</v>
      </c>
      <c r="D6" s="4" t="s">
        <v>100</v>
      </c>
      <c r="E6" s="4" t="s">
        <v>51</v>
      </c>
      <c r="F6" s="4" t="s">
        <v>100</v>
      </c>
      <c r="G6" s="4" t="s">
        <v>100</v>
      </c>
      <c r="H6" s="4" t="s">
        <v>100</v>
      </c>
      <c r="I6" s="4" t="str">
        <f t="shared" si="0"/>
        <v>Not Selected</v>
      </c>
    </row>
    <row r="7" spans="2:9" x14ac:dyDescent="0.2">
      <c r="B7" s="251" t="s">
        <v>28</v>
      </c>
      <c r="C7" s="4" t="s">
        <v>51</v>
      </c>
      <c r="D7" s="4" t="s">
        <v>51</v>
      </c>
      <c r="E7" s="4" t="s">
        <v>51</v>
      </c>
      <c r="F7" s="4" t="s">
        <v>100</v>
      </c>
      <c r="G7" s="4" t="s">
        <v>100</v>
      </c>
      <c r="H7" s="4" t="s">
        <v>100</v>
      </c>
      <c r="I7" s="4" t="str">
        <f t="shared" si="0"/>
        <v>Selected</v>
      </c>
    </row>
    <row r="8" spans="2:9" x14ac:dyDescent="0.2">
      <c r="B8" s="252" t="s">
        <v>97</v>
      </c>
      <c r="C8" s="4" t="s">
        <v>51</v>
      </c>
      <c r="D8" s="4" t="s">
        <v>100</v>
      </c>
      <c r="E8" s="4" t="s">
        <v>51</v>
      </c>
      <c r="F8" s="4" t="s">
        <v>100</v>
      </c>
      <c r="G8" s="4" t="s">
        <v>100</v>
      </c>
      <c r="H8" s="4" t="s">
        <v>51</v>
      </c>
      <c r="I8" s="4" t="str">
        <f t="shared" si="0"/>
        <v>Not Selected</v>
      </c>
    </row>
    <row r="9" spans="2:9" x14ac:dyDescent="0.2">
      <c r="B9" s="252" t="s">
        <v>94</v>
      </c>
      <c r="C9" s="4" t="s">
        <v>100</v>
      </c>
      <c r="D9" s="4" t="s">
        <v>100</v>
      </c>
      <c r="E9" s="4" t="s">
        <v>51</v>
      </c>
      <c r="F9" s="4" t="s">
        <v>100</v>
      </c>
      <c r="G9" s="4" t="s">
        <v>100</v>
      </c>
      <c r="H9" s="4" t="s">
        <v>100</v>
      </c>
      <c r="I9" s="4" t="str">
        <f t="shared" si="0"/>
        <v>Not Selected</v>
      </c>
    </row>
    <row r="10" spans="2:9" x14ac:dyDescent="0.2">
      <c r="B10" s="252" t="s">
        <v>213</v>
      </c>
      <c r="C10" s="4" t="s">
        <v>51</v>
      </c>
      <c r="D10" s="4" t="s">
        <v>51</v>
      </c>
      <c r="E10" s="4" t="s">
        <v>51</v>
      </c>
      <c r="F10" s="4" t="s">
        <v>100</v>
      </c>
      <c r="G10" s="4" t="s">
        <v>100</v>
      </c>
      <c r="H10" s="4" t="s">
        <v>100</v>
      </c>
      <c r="I10" s="4" t="str">
        <f t="shared" si="0"/>
        <v>Selected</v>
      </c>
    </row>
    <row r="11" spans="2:9" x14ac:dyDescent="0.2">
      <c r="B11" s="252" t="s">
        <v>302</v>
      </c>
      <c r="C11" s="4" t="s">
        <v>51</v>
      </c>
      <c r="D11" s="4" t="s">
        <v>51</v>
      </c>
      <c r="E11" s="4" t="s">
        <v>51</v>
      </c>
      <c r="F11" s="4" t="s">
        <v>100</v>
      </c>
      <c r="G11" s="4" t="s">
        <v>100</v>
      </c>
      <c r="H11" s="4"/>
      <c r="I11" s="4" t="str">
        <f t="shared" si="0"/>
        <v>Not Selected</v>
      </c>
    </row>
    <row r="12" spans="2:9" x14ac:dyDescent="0.2">
      <c r="B12" s="252" t="s">
        <v>38</v>
      </c>
      <c r="C12" s="4" t="s">
        <v>51</v>
      </c>
      <c r="D12" s="4" t="s">
        <v>51</v>
      </c>
      <c r="E12" s="4" t="s">
        <v>51</v>
      </c>
      <c r="F12" s="4" t="s">
        <v>100</v>
      </c>
      <c r="G12" s="4" t="s">
        <v>100</v>
      </c>
      <c r="H12" s="4" t="s">
        <v>100</v>
      </c>
      <c r="I12" s="4" t="str">
        <f t="shared" si="0"/>
        <v>Selected</v>
      </c>
    </row>
    <row r="13" spans="2:9" x14ac:dyDescent="0.2">
      <c r="B13" s="252" t="s">
        <v>40</v>
      </c>
      <c r="C13" s="4" t="s">
        <v>51</v>
      </c>
      <c r="D13" s="4" t="s">
        <v>51</v>
      </c>
      <c r="E13" s="4" t="s">
        <v>51</v>
      </c>
      <c r="F13" s="4" t="s">
        <v>100</v>
      </c>
      <c r="G13" s="4" t="s">
        <v>100</v>
      </c>
      <c r="H13" s="4" t="s">
        <v>100</v>
      </c>
      <c r="I13" s="4" t="str">
        <f t="shared" si="0"/>
        <v>Selected</v>
      </c>
    </row>
    <row r="14" spans="2:9" x14ac:dyDescent="0.2">
      <c r="B14" s="252" t="s">
        <v>39</v>
      </c>
      <c r="C14" s="4" t="s">
        <v>51</v>
      </c>
      <c r="D14" s="4" t="s">
        <v>51</v>
      </c>
      <c r="E14" s="4" t="s">
        <v>51</v>
      </c>
      <c r="F14" s="4" t="s">
        <v>51</v>
      </c>
      <c r="G14" s="4" t="s">
        <v>100</v>
      </c>
      <c r="H14" s="4" t="s">
        <v>51</v>
      </c>
      <c r="I14" s="4" t="str">
        <f t="shared" si="0"/>
        <v>Not Selected</v>
      </c>
    </row>
    <row r="15" spans="2:9" x14ac:dyDescent="0.2">
      <c r="B15" s="252" t="s">
        <v>35</v>
      </c>
      <c r="C15" s="4" t="s">
        <v>51</v>
      </c>
      <c r="D15" s="4" t="s">
        <v>100</v>
      </c>
      <c r="E15" s="4" t="s">
        <v>51</v>
      </c>
      <c r="F15" s="4" t="s">
        <v>100</v>
      </c>
      <c r="G15" s="4" t="s">
        <v>100</v>
      </c>
      <c r="H15" s="4" t="s">
        <v>100</v>
      </c>
      <c r="I15" s="4" t="str">
        <f t="shared" si="0"/>
        <v>Not Selected</v>
      </c>
    </row>
    <row r="16" spans="2:9" x14ac:dyDescent="0.2">
      <c r="B16" s="252" t="s">
        <v>36</v>
      </c>
      <c r="C16" s="4" t="s">
        <v>51</v>
      </c>
      <c r="D16" s="4" t="s">
        <v>51</v>
      </c>
      <c r="E16" s="4" t="s">
        <v>51</v>
      </c>
      <c r="F16" s="4" t="s">
        <v>100</v>
      </c>
      <c r="G16" s="4" t="s">
        <v>100</v>
      </c>
      <c r="H16" s="4" t="s">
        <v>51</v>
      </c>
      <c r="I16" s="4" t="str">
        <f t="shared" si="0"/>
        <v>Not Selected</v>
      </c>
    </row>
    <row r="17" spans="2:9" x14ac:dyDescent="0.2">
      <c r="B17" s="252" t="s">
        <v>41</v>
      </c>
      <c r="C17" s="4" t="s">
        <v>51</v>
      </c>
      <c r="D17" s="4" t="s">
        <v>100</v>
      </c>
      <c r="E17" s="4" t="s">
        <v>51</v>
      </c>
      <c r="F17" s="4" t="s">
        <v>100</v>
      </c>
      <c r="G17" s="4" t="s">
        <v>100</v>
      </c>
      <c r="H17" s="4" t="s">
        <v>51</v>
      </c>
      <c r="I17" s="4" t="str">
        <f t="shared" si="0"/>
        <v>Not Selected</v>
      </c>
    </row>
    <row r="18" spans="2:9" x14ac:dyDescent="0.2">
      <c r="B18" s="252" t="s">
        <v>154</v>
      </c>
      <c r="C18" s="4" t="s">
        <v>51</v>
      </c>
      <c r="D18" s="4" t="s">
        <v>51</v>
      </c>
      <c r="E18" s="4" t="s">
        <v>100</v>
      </c>
      <c r="F18" s="4" t="s">
        <v>51</v>
      </c>
      <c r="G18" s="4" t="s">
        <v>51</v>
      </c>
      <c r="H18" s="4" t="s">
        <v>100</v>
      </c>
      <c r="I18" s="4" t="str">
        <f t="shared" si="0"/>
        <v>Not Selected</v>
      </c>
    </row>
    <row r="19" spans="2:9" x14ac:dyDescent="0.2">
      <c r="B19" s="20"/>
      <c r="C19" s="4"/>
      <c r="D19" s="4"/>
      <c r="E19" s="4"/>
      <c r="F19" s="4"/>
      <c r="G19" s="4"/>
      <c r="H19" s="4"/>
      <c r="I19" s="4" t="str">
        <f t="shared" si="0"/>
        <v>Not Selected</v>
      </c>
    </row>
    <row r="20" spans="2:9" x14ac:dyDescent="0.2">
      <c r="B20" s="20"/>
      <c r="C20" s="4"/>
      <c r="D20" s="4"/>
      <c r="E20" s="4"/>
      <c r="F20" s="4"/>
      <c r="G20" s="4"/>
      <c r="H20" s="4"/>
      <c r="I20" s="4" t="str">
        <f t="shared" si="0"/>
        <v>Not Selected</v>
      </c>
    </row>
    <row r="21" spans="2:9" x14ac:dyDescent="0.2">
      <c r="B21" s="20"/>
      <c r="C21" s="4"/>
      <c r="D21" s="4"/>
      <c r="E21" s="4"/>
      <c r="F21" s="4"/>
      <c r="G21" s="4"/>
      <c r="H21" s="4"/>
      <c r="I21" s="4" t="str">
        <f t="shared" si="0"/>
        <v>Not Selected</v>
      </c>
    </row>
    <row r="22" spans="2:9" x14ac:dyDescent="0.2">
      <c r="B22" s="21"/>
    </row>
    <row r="23" spans="2:9" x14ac:dyDescent="0.2">
      <c r="B23" s="21"/>
    </row>
  </sheetData>
  <conditionalFormatting sqref="I3:I21">
    <cfRule type="containsText" dxfId="110" priority="2" stopIfTrue="1" operator="containsText" text="not">
      <formula>NOT(ISERROR(SEARCH("not",I3)))</formula>
    </cfRule>
    <cfRule type="notContainsBlanks" dxfId="109" priority="3" stopIfTrue="1">
      <formula>LEN(TRIM(I3))&gt;0</formula>
    </cfRule>
  </conditionalFormatting>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30"/>
  <sheetViews>
    <sheetView zoomScale="75" zoomScaleNormal="100" workbookViewId="0">
      <selection activeCell="U49" sqref="U49"/>
    </sheetView>
  </sheetViews>
  <sheetFormatPr baseColWidth="10" defaultColWidth="8.83203125" defaultRowHeight="15" x14ac:dyDescent="0.2"/>
  <cols>
    <col min="1" max="1" width="9.33203125" customWidth="1"/>
    <col min="2" max="2" width="20.5" bestFit="1" customWidth="1"/>
    <col min="3" max="3" width="16.1640625" bestFit="1" customWidth="1"/>
    <col min="4" max="4" width="8.83203125" bestFit="1" customWidth="1"/>
    <col min="5" max="6" width="9.83203125" bestFit="1" customWidth="1"/>
    <col min="7" max="7" width="8.83203125" bestFit="1" customWidth="1"/>
    <col min="8" max="8" width="8.5" bestFit="1" customWidth="1"/>
    <col min="9" max="9" width="19.5" bestFit="1" customWidth="1"/>
    <col min="10" max="10" width="8.33203125" bestFit="1" customWidth="1"/>
    <col min="11" max="11" width="9.6640625" bestFit="1" customWidth="1"/>
    <col min="12" max="12" width="5.5" bestFit="1" customWidth="1"/>
    <col min="13" max="13" width="6.1640625" bestFit="1" customWidth="1"/>
    <col min="14" max="14" width="22.83203125" bestFit="1" customWidth="1"/>
    <col min="15" max="15" width="27.6640625" bestFit="1" customWidth="1"/>
    <col min="16" max="16" width="22.1640625" bestFit="1" customWidth="1"/>
    <col min="17" max="17" width="18.1640625" bestFit="1" customWidth="1"/>
    <col min="18" max="18" width="28.83203125" bestFit="1" customWidth="1"/>
    <col min="19" max="19" width="31.1640625" bestFit="1" customWidth="1"/>
    <col min="20" max="20" width="31.5" bestFit="1" customWidth="1"/>
    <col min="21" max="21" width="25.6640625" customWidth="1"/>
    <col min="22" max="22" width="20.5" customWidth="1"/>
    <col min="23" max="23" width="32.1640625" customWidth="1"/>
    <col min="24" max="24" width="28.5" customWidth="1"/>
    <col min="25" max="25" width="21.83203125" customWidth="1"/>
    <col min="26" max="26" width="8.83203125" bestFit="1" customWidth="1"/>
    <col min="27" max="27" width="7.5" bestFit="1" customWidth="1"/>
    <col min="28" max="28" width="8.83203125" bestFit="1" customWidth="1"/>
    <col min="29" max="29" width="12.5" bestFit="1" customWidth="1"/>
    <col min="30" max="30" width="9.5" bestFit="1" customWidth="1"/>
    <col min="31" max="31" width="14" customWidth="1"/>
    <col min="32" max="32" width="11" customWidth="1"/>
    <col min="33" max="33" width="16.83203125" bestFit="1" customWidth="1"/>
    <col min="34" max="35" width="15.83203125" bestFit="1" customWidth="1"/>
    <col min="36" max="36" width="18.1640625" bestFit="1" customWidth="1"/>
    <col min="37" max="37" width="20.83203125" bestFit="1" customWidth="1"/>
    <col min="38" max="38" width="18.1640625" bestFit="1" customWidth="1"/>
    <col min="39" max="39" width="25.5" bestFit="1" customWidth="1"/>
    <col min="40" max="40" width="19.83203125" bestFit="1" customWidth="1"/>
    <col min="41" max="41" width="31.5" bestFit="1" customWidth="1"/>
    <col min="42" max="42" width="46.1640625" bestFit="1" customWidth="1"/>
    <col min="43" max="43" width="30.1640625" bestFit="1" customWidth="1"/>
    <col min="44" max="44" width="29" bestFit="1" customWidth="1"/>
  </cols>
  <sheetData>
    <row r="2" spans="2:43" ht="24" x14ac:dyDescent="0.3">
      <c r="B2" s="111" t="s">
        <v>16</v>
      </c>
      <c r="C2" s="118" t="s">
        <v>4</v>
      </c>
      <c r="D2" s="119"/>
      <c r="E2" s="119"/>
      <c r="F2" s="119"/>
      <c r="G2" s="119"/>
      <c r="H2" s="119"/>
      <c r="I2" s="119"/>
      <c r="J2" s="119"/>
      <c r="K2" s="119"/>
      <c r="L2" s="119"/>
      <c r="M2" s="119"/>
      <c r="N2" s="119"/>
      <c r="O2" s="119"/>
      <c r="P2" s="105" t="s">
        <v>5</v>
      </c>
      <c r="Q2" s="106"/>
      <c r="R2" s="106"/>
      <c r="S2" s="106"/>
      <c r="T2" s="106"/>
      <c r="U2" s="106"/>
      <c r="V2" s="107"/>
      <c r="W2" s="128" t="s">
        <v>7</v>
      </c>
      <c r="X2" s="129"/>
      <c r="Y2" s="130"/>
      <c r="Z2" s="131" t="s">
        <v>9</v>
      </c>
      <c r="AA2" s="132"/>
      <c r="AB2" s="132"/>
      <c r="AC2" s="132"/>
      <c r="AD2" s="132"/>
      <c r="AE2" s="132"/>
      <c r="AF2" s="132"/>
      <c r="AG2" s="132"/>
      <c r="AH2" s="132"/>
      <c r="AI2" s="132"/>
      <c r="AJ2" s="132"/>
      <c r="AK2" s="132"/>
      <c r="AL2" s="133"/>
      <c r="AM2" s="134" t="s">
        <v>10</v>
      </c>
      <c r="AN2" s="135"/>
      <c r="AO2" s="135"/>
      <c r="AP2" s="135"/>
      <c r="AQ2" s="136"/>
    </row>
    <row r="3" spans="2:43" ht="24" x14ac:dyDescent="0.2">
      <c r="B3" s="111"/>
      <c r="C3" s="113" t="s">
        <v>22</v>
      </c>
      <c r="D3" s="114"/>
      <c r="E3" s="114"/>
      <c r="F3" s="114"/>
      <c r="G3" s="114"/>
      <c r="H3" s="114"/>
      <c r="I3" s="115"/>
      <c r="J3" s="116" t="s">
        <v>2</v>
      </c>
      <c r="K3" s="117"/>
      <c r="L3" s="117"/>
      <c r="M3" s="117"/>
      <c r="N3" s="120" t="s">
        <v>3</v>
      </c>
      <c r="O3" s="122" t="s">
        <v>65</v>
      </c>
      <c r="P3" s="108" t="s">
        <v>66</v>
      </c>
      <c r="Q3" s="109"/>
      <c r="R3" s="109"/>
      <c r="S3" s="110"/>
      <c r="T3" s="124" t="s">
        <v>107</v>
      </c>
      <c r="U3" s="126" t="s">
        <v>67</v>
      </c>
      <c r="V3" s="124" t="s">
        <v>6</v>
      </c>
      <c r="W3" s="93" t="s">
        <v>68</v>
      </c>
      <c r="X3" s="95" t="s">
        <v>69</v>
      </c>
      <c r="Y3" s="93" t="s">
        <v>70</v>
      </c>
      <c r="Z3" s="91" t="s">
        <v>60</v>
      </c>
      <c r="AA3" s="91"/>
      <c r="AB3" s="91"/>
      <c r="AC3" s="91"/>
      <c r="AD3" s="92" t="s">
        <v>61</v>
      </c>
      <c r="AE3" s="92"/>
      <c r="AF3" s="92"/>
      <c r="AG3" s="92"/>
      <c r="AH3" s="99" t="s">
        <v>71</v>
      </c>
      <c r="AI3" s="101" t="s">
        <v>8</v>
      </c>
      <c r="AJ3" s="99" t="s">
        <v>72</v>
      </c>
      <c r="AK3" s="101" t="s">
        <v>73</v>
      </c>
      <c r="AL3" s="99" t="s">
        <v>74</v>
      </c>
      <c r="AM3" s="97" t="s">
        <v>75</v>
      </c>
      <c r="AN3" s="103" t="s">
        <v>76</v>
      </c>
      <c r="AO3" s="97" t="s">
        <v>77</v>
      </c>
      <c r="AP3" s="103" t="s">
        <v>93</v>
      </c>
      <c r="AQ3" s="97" t="s">
        <v>78</v>
      </c>
    </row>
    <row r="4" spans="2:43" ht="61" thickBot="1" x14ac:dyDescent="0.25">
      <c r="B4" s="112"/>
      <c r="C4" s="22" t="s">
        <v>52</v>
      </c>
      <c r="D4" s="22" t="s">
        <v>53</v>
      </c>
      <c r="E4" s="22" t="s">
        <v>54</v>
      </c>
      <c r="F4" s="22" t="s">
        <v>109</v>
      </c>
      <c r="G4" s="14" t="s">
        <v>110</v>
      </c>
      <c r="H4" s="14" t="s">
        <v>55</v>
      </c>
      <c r="I4" s="14" t="s">
        <v>124</v>
      </c>
      <c r="J4" s="26" t="s">
        <v>82</v>
      </c>
      <c r="K4" s="26" t="s">
        <v>83</v>
      </c>
      <c r="L4" s="26" t="s">
        <v>103</v>
      </c>
      <c r="M4" s="26" t="s">
        <v>57</v>
      </c>
      <c r="N4" s="121"/>
      <c r="O4" s="123"/>
      <c r="P4" s="13" t="s">
        <v>84</v>
      </c>
      <c r="Q4" s="13" t="s">
        <v>85</v>
      </c>
      <c r="R4" s="13" t="s">
        <v>86</v>
      </c>
      <c r="S4" s="13" t="s">
        <v>190</v>
      </c>
      <c r="T4" s="125"/>
      <c r="U4" s="127"/>
      <c r="V4" s="125"/>
      <c r="W4" s="94"/>
      <c r="X4" s="96"/>
      <c r="Y4" s="94"/>
      <c r="Z4" s="15" t="s">
        <v>81</v>
      </c>
      <c r="AA4" s="15" t="s">
        <v>64</v>
      </c>
      <c r="AB4" s="15" t="s">
        <v>80</v>
      </c>
      <c r="AC4" s="15" t="s">
        <v>79</v>
      </c>
      <c r="AD4" s="28" t="s">
        <v>62</v>
      </c>
      <c r="AE4" s="28" t="s">
        <v>58</v>
      </c>
      <c r="AF4" s="28" t="s">
        <v>63</v>
      </c>
      <c r="AG4" s="28" t="s">
        <v>239</v>
      </c>
      <c r="AH4" s="100"/>
      <c r="AI4" s="102"/>
      <c r="AJ4" s="100"/>
      <c r="AK4" s="102"/>
      <c r="AL4" s="100"/>
      <c r="AM4" s="98"/>
      <c r="AN4" s="104"/>
      <c r="AO4" s="98"/>
      <c r="AP4" s="104"/>
      <c r="AQ4" s="98"/>
    </row>
    <row r="5" spans="2:43" s="25" customFormat="1" ht="161" thickTop="1" x14ac:dyDescent="0.2">
      <c r="B5" s="29" t="s">
        <v>23</v>
      </c>
      <c r="C5" s="23" t="s">
        <v>125</v>
      </c>
      <c r="D5" s="23" t="s">
        <v>125</v>
      </c>
      <c r="E5" s="23" t="s">
        <v>56</v>
      </c>
      <c r="F5" s="23" t="s">
        <v>100</v>
      </c>
      <c r="G5" s="24" t="s">
        <v>100</v>
      </c>
      <c r="H5" s="24" t="s">
        <v>100</v>
      </c>
      <c r="I5" s="23" t="s">
        <v>56</v>
      </c>
      <c r="J5" s="23" t="s">
        <v>56</v>
      </c>
      <c r="K5" s="23" t="s">
        <v>56</v>
      </c>
      <c r="L5" s="23" t="s">
        <v>56</v>
      </c>
      <c r="M5" s="23" t="s">
        <v>56</v>
      </c>
      <c r="N5" s="24" t="s">
        <v>102</v>
      </c>
      <c r="O5" s="24" t="s">
        <v>129</v>
      </c>
      <c r="P5" s="23" t="s">
        <v>105</v>
      </c>
      <c r="Q5" s="23" t="s">
        <v>104</v>
      </c>
      <c r="R5" s="23" t="s">
        <v>196</v>
      </c>
      <c r="S5" s="24" t="s">
        <v>191</v>
      </c>
      <c r="T5" s="24" t="s">
        <v>108</v>
      </c>
      <c r="U5" s="24" t="s">
        <v>123</v>
      </c>
      <c r="V5" s="24" t="s">
        <v>119</v>
      </c>
      <c r="W5" s="24" t="s">
        <v>106</v>
      </c>
      <c r="X5" s="24" t="s">
        <v>141</v>
      </c>
      <c r="Y5" s="24" t="s">
        <v>142</v>
      </c>
      <c r="Z5" s="24" t="s">
        <v>115</v>
      </c>
      <c r="AA5" s="24" t="s">
        <v>56</v>
      </c>
      <c r="AB5" s="24" t="s">
        <v>100</v>
      </c>
      <c r="AC5" s="24" t="s">
        <v>100</v>
      </c>
      <c r="AD5" s="24" t="s">
        <v>114</v>
      </c>
      <c r="AE5" s="24" t="s">
        <v>116</v>
      </c>
      <c r="AF5" s="24" t="s">
        <v>100</v>
      </c>
      <c r="AG5" s="24" t="s">
        <v>111</v>
      </c>
      <c r="AH5" s="24" t="s">
        <v>128</v>
      </c>
      <c r="AI5" s="24" t="s">
        <v>56</v>
      </c>
      <c r="AJ5" s="24" t="s">
        <v>121</v>
      </c>
      <c r="AK5" s="24" t="s">
        <v>100</v>
      </c>
      <c r="AL5" s="24" t="s">
        <v>100</v>
      </c>
      <c r="AM5" s="24" t="s">
        <v>113</v>
      </c>
      <c r="AN5" s="24" t="s">
        <v>112</v>
      </c>
      <c r="AO5" s="24" t="s">
        <v>136</v>
      </c>
      <c r="AP5" s="24" t="s">
        <v>122</v>
      </c>
      <c r="AQ5" s="23" t="s">
        <v>127</v>
      </c>
    </row>
    <row r="6" spans="2:43" s="25" customFormat="1" ht="160" x14ac:dyDescent="0.2">
      <c r="B6" s="30" t="s">
        <v>27</v>
      </c>
      <c r="C6" s="23" t="s">
        <v>125</v>
      </c>
      <c r="D6" s="23" t="s">
        <v>125</v>
      </c>
      <c r="E6" s="23" t="s">
        <v>126</v>
      </c>
      <c r="F6" s="27" t="s">
        <v>100</v>
      </c>
      <c r="G6" s="23" t="s">
        <v>100</v>
      </c>
      <c r="H6" s="23" t="s">
        <v>100</v>
      </c>
      <c r="I6" s="23" t="s">
        <v>133</v>
      </c>
      <c r="J6" s="23" t="s">
        <v>56</v>
      </c>
      <c r="K6" s="23" t="s">
        <v>100</v>
      </c>
      <c r="L6" s="23" t="s">
        <v>100</v>
      </c>
      <c r="M6" s="23" t="s">
        <v>100</v>
      </c>
      <c r="N6" s="23" t="s">
        <v>137</v>
      </c>
      <c r="O6" s="23" t="s">
        <v>130</v>
      </c>
      <c r="P6" s="23" t="s">
        <v>100</v>
      </c>
      <c r="Q6" s="23" t="s">
        <v>131</v>
      </c>
      <c r="R6" s="25" t="s">
        <v>100</v>
      </c>
      <c r="S6" s="23" t="s">
        <v>135</v>
      </c>
      <c r="T6" s="23" t="s">
        <v>132</v>
      </c>
      <c r="U6" s="23" t="s">
        <v>134</v>
      </c>
      <c r="V6" s="23"/>
      <c r="W6" s="23" t="s">
        <v>100</v>
      </c>
      <c r="X6" s="23"/>
      <c r="Y6" s="27" t="s">
        <v>140</v>
      </c>
      <c r="Z6" s="24" t="s">
        <v>115</v>
      </c>
      <c r="AA6" s="24" t="s">
        <v>56</v>
      </c>
      <c r="AB6" s="24" t="s">
        <v>100</v>
      </c>
      <c r="AC6" s="24" t="s">
        <v>100</v>
      </c>
      <c r="AD6" s="24" t="s">
        <v>114</v>
      </c>
      <c r="AE6" s="23" t="s">
        <v>100</v>
      </c>
      <c r="AF6" s="23" t="s">
        <v>100</v>
      </c>
      <c r="AG6" s="23" t="s">
        <v>100</v>
      </c>
      <c r="AH6" s="23" t="s">
        <v>143</v>
      </c>
      <c r="AI6" s="24" t="s">
        <v>56</v>
      </c>
      <c r="AJ6" s="24" t="s">
        <v>56</v>
      </c>
      <c r="AK6" s="23" t="s">
        <v>144</v>
      </c>
      <c r="AL6" s="23" t="s">
        <v>145</v>
      </c>
      <c r="AM6" s="23" t="s">
        <v>146</v>
      </c>
      <c r="AN6" s="23" t="s">
        <v>147</v>
      </c>
      <c r="AO6" s="24" t="s">
        <v>138</v>
      </c>
      <c r="AP6" s="23" t="s">
        <v>29</v>
      </c>
      <c r="AQ6" s="23" t="s">
        <v>139</v>
      </c>
    </row>
    <row r="7" spans="2:43" s="25" customFormat="1" ht="144" x14ac:dyDescent="0.2">
      <c r="B7" s="31" t="s">
        <v>243</v>
      </c>
      <c r="C7" s="23" t="s">
        <v>56</v>
      </c>
      <c r="D7" s="23" t="s">
        <v>100</v>
      </c>
      <c r="E7" s="23" t="s">
        <v>100</v>
      </c>
      <c r="F7" s="23" t="s">
        <v>56</v>
      </c>
      <c r="G7" s="23" t="s">
        <v>100</v>
      </c>
      <c r="H7" s="23" t="s">
        <v>100</v>
      </c>
      <c r="I7" s="23" t="s">
        <v>100</v>
      </c>
      <c r="J7" s="23" t="s">
        <v>56</v>
      </c>
      <c r="K7" s="23" t="s">
        <v>56</v>
      </c>
      <c r="L7" s="23" t="s">
        <v>100</v>
      </c>
      <c r="M7" s="23" t="s">
        <v>100</v>
      </c>
      <c r="N7" s="23" t="s">
        <v>148</v>
      </c>
      <c r="O7" s="23" t="s">
        <v>180</v>
      </c>
      <c r="P7" s="27" t="s">
        <v>100</v>
      </c>
      <c r="Q7" s="23" t="s">
        <v>100</v>
      </c>
      <c r="R7" s="23" t="s">
        <v>181</v>
      </c>
      <c r="S7" s="23" t="s">
        <v>194</v>
      </c>
      <c r="T7" s="23" t="s">
        <v>195</v>
      </c>
      <c r="U7" s="23" t="s">
        <v>182</v>
      </c>
      <c r="V7" s="23"/>
      <c r="W7" s="23" t="s">
        <v>183</v>
      </c>
      <c r="X7" s="23" t="s">
        <v>182</v>
      </c>
      <c r="Y7" s="23"/>
      <c r="Z7" s="24" t="s">
        <v>56</v>
      </c>
      <c r="AA7" s="24" t="s">
        <v>56</v>
      </c>
      <c r="AB7" s="23" t="s">
        <v>100</v>
      </c>
      <c r="AC7" s="23" t="s">
        <v>100</v>
      </c>
      <c r="AD7" s="23" t="s">
        <v>56</v>
      </c>
      <c r="AE7" s="23"/>
      <c r="AF7" s="23" t="s">
        <v>100</v>
      </c>
      <c r="AG7" s="23" t="s">
        <v>100</v>
      </c>
      <c r="AH7" s="23" t="s">
        <v>106</v>
      </c>
      <c r="AI7" s="23" t="s">
        <v>106</v>
      </c>
      <c r="AJ7" s="23" t="s">
        <v>106</v>
      </c>
      <c r="AK7" s="23" t="s">
        <v>106</v>
      </c>
      <c r="AL7" s="23" t="s">
        <v>106</v>
      </c>
      <c r="AM7" s="23" t="s">
        <v>113</v>
      </c>
      <c r="AN7" s="23"/>
      <c r="AO7" s="23"/>
      <c r="AP7" s="23"/>
      <c r="AQ7" s="23"/>
    </row>
    <row r="8" spans="2:43" s="25" customFormat="1" ht="64" x14ac:dyDescent="0.2">
      <c r="B8" s="30" t="s">
        <v>28</v>
      </c>
      <c r="C8" s="23" t="s">
        <v>125</v>
      </c>
      <c r="D8" s="23" t="s">
        <v>125</v>
      </c>
      <c r="E8" s="23" t="s">
        <v>100</v>
      </c>
      <c r="F8" s="23" t="s">
        <v>100</v>
      </c>
      <c r="G8" s="23" t="s">
        <v>100</v>
      </c>
      <c r="H8" s="23"/>
      <c r="I8" s="23" t="s">
        <v>56</v>
      </c>
      <c r="J8" s="23" t="s">
        <v>56</v>
      </c>
      <c r="K8" s="23" t="s">
        <v>100</v>
      </c>
      <c r="L8" s="32" t="s">
        <v>56</v>
      </c>
      <c r="M8" s="23" t="s">
        <v>100</v>
      </c>
      <c r="N8" s="23" t="s">
        <v>137</v>
      </c>
      <c r="O8" s="23" t="s">
        <v>179</v>
      </c>
      <c r="P8" s="23" t="s">
        <v>100</v>
      </c>
      <c r="Q8" s="23" t="s">
        <v>125</v>
      </c>
      <c r="R8" s="23" t="s">
        <v>120</v>
      </c>
      <c r="S8" s="23"/>
      <c r="T8" s="23"/>
      <c r="U8" s="32"/>
      <c r="V8" s="23"/>
      <c r="W8" s="23" t="s">
        <v>100</v>
      </c>
      <c r="X8" s="23"/>
      <c r="Y8" s="23"/>
      <c r="Z8" s="24" t="s">
        <v>149</v>
      </c>
      <c r="AA8" s="24" t="s">
        <v>56</v>
      </c>
      <c r="AB8" s="24" t="s">
        <v>100</v>
      </c>
      <c r="AC8" s="23" t="s">
        <v>100</v>
      </c>
      <c r="AD8" s="24" t="s">
        <v>56</v>
      </c>
      <c r="AE8" s="23" t="s">
        <v>100</v>
      </c>
      <c r="AF8" s="23" t="s">
        <v>100</v>
      </c>
      <c r="AG8" s="23" t="s">
        <v>100</v>
      </c>
      <c r="AH8" s="23" t="s">
        <v>150</v>
      </c>
      <c r="AI8" s="24" t="s">
        <v>56</v>
      </c>
      <c r="AJ8" s="24" t="s">
        <v>56</v>
      </c>
      <c r="AK8" s="23"/>
      <c r="AL8" s="23" t="s">
        <v>151</v>
      </c>
      <c r="AM8" s="23"/>
      <c r="AN8" s="23"/>
      <c r="AO8" s="23"/>
      <c r="AP8" s="23"/>
      <c r="AQ8" s="23"/>
    </row>
    <row r="9" spans="2:43" s="25" customFormat="1" ht="96" customHeight="1" x14ac:dyDescent="0.2">
      <c r="B9" s="31" t="s">
        <v>187</v>
      </c>
      <c r="C9" s="12" t="s">
        <v>125</v>
      </c>
      <c r="D9" s="12" t="s">
        <v>125</v>
      </c>
      <c r="E9" s="12" t="s">
        <v>100</v>
      </c>
      <c r="F9" s="12" t="s">
        <v>100</v>
      </c>
      <c r="G9" s="12" t="s">
        <v>100</v>
      </c>
      <c r="H9" s="12" t="s">
        <v>100</v>
      </c>
      <c r="I9" s="12" t="s">
        <v>100</v>
      </c>
      <c r="J9" s="23" t="s">
        <v>56</v>
      </c>
      <c r="K9" s="12" t="s">
        <v>100</v>
      </c>
      <c r="L9" s="12" t="s">
        <v>100</v>
      </c>
      <c r="M9" s="12" t="s">
        <v>100</v>
      </c>
      <c r="N9" s="12" t="s">
        <v>188</v>
      </c>
      <c r="O9" s="23" t="s">
        <v>189</v>
      </c>
      <c r="P9" s="12" t="s">
        <v>100</v>
      </c>
      <c r="Q9" s="23" t="s">
        <v>204</v>
      </c>
      <c r="R9" s="12" t="s">
        <v>100</v>
      </c>
      <c r="S9" s="23" t="s">
        <v>193</v>
      </c>
      <c r="T9" s="12" t="s">
        <v>195</v>
      </c>
      <c r="U9" s="23" t="s">
        <v>198</v>
      </c>
      <c r="V9" s="12"/>
      <c r="W9" s="23" t="s">
        <v>215</v>
      </c>
      <c r="X9" s="12" t="s">
        <v>199</v>
      </c>
      <c r="Y9" s="23" t="s">
        <v>200</v>
      </c>
      <c r="Z9" s="24" t="s">
        <v>56</v>
      </c>
      <c r="AA9" s="24" t="s">
        <v>56</v>
      </c>
      <c r="AB9" s="12" t="s">
        <v>100</v>
      </c>
      <c r="AC9" s="12" t="s">
        <v>100</v>
      </c>
      <c r="AD9" s="24" t="s">
        <v>56</v>
      </c>
      <c r="AE9" s="12" t="s">
        <v>106</v>
      </c>
      <c r="AF9" s="12" t="s">
        <v>106</v>
      </c>
      <c r="AG9" s="12" t="s">
        <v>106</v>
      </c>
      <c r="AH9" s="12" t="s">
        <v>106</v>
      </c>
      <c r="AI9" s="12" t="s">
        <v>106</v>
      </c>
      <c r="AJ9" s="12" t="s">
        <v>106</v>
      </c>
      <c r="AK9" s="12" t="s">
        <v>106</v>
      </c>
      <c r="AL9" s="12" t="s">
        <v>106</v>
      </c>
      <c r="AM9" s="12" t="s">
        <v>113</v>
      </c>
      <c r="AN9" s="12" t="s">
        <v>209</v>
      </c>
      <c r="AO9" s="23" t="s">
        <v>201</v>
      </c>
      <c r="AP9" s="23" t="s">
        <v>169</v>
      </c>
      <c r="AQ9" s="12"/>
    </row>
    <row r="10" spans="2:43" s="25" customFormat="1" ht="112" x14ac:dyDescent="0.2">
      <c r="B10" s="30" t="s">
        <v>44</v>
      </c>
      <c r="C10" s="12" t="s">
        <v>125</v>
      </c>
      <c r="D10" s="12" t="s">
        <v>125</v>
      </c>
      <c r="E10" s="23" t="s">
        <v>216</v>
      </c>
      <c r="F10" s="12" t="s">
        <v>100</v>
      </c>
      <c r="G10" s="12" t="s">
        <v>100</v>
      </c>
      <c r="H10" s="12" t="s">
        <v>100</v>
      </c>
      <c r="I10" s="12" t="s">
        <v>100</v>
      </c>
      <c r="J10" s="23" t="s">
        <v>56</v>
      </c>
      <c r="K10" s="12" t="s">
        <v>100</v>
      </c>
      <c r="L10" s="12" t="s">
        <v>100</v>
      </c>
      <c r="M10" s="12" t="s">
        <v>100</v>
      </c>
      <c r="N10" s="23" t="s">
        <v>211</v>
      </c>
      <c r="O10" s="12" t="s">
        <v>220</v>
      </c>
      <c r="P10" s="12" t="s">
        <v>100</v>
      </c>
      <c r="Q10" s="23" t="s">
        <v>197</v>
      </c>
      <c r="R10" s="12" t="s">
        <v>236</v>
      </c>
      <c r="S10" s="23" t="s">
        <v>221</v>
      </c>
      <c r="T10" s="12" t="s">
        <v>195</v>
      </c>
      <c r="U10" s="23" t="s">
        <v>218</v>
      </c>
      <c r="V10" s="12"/>
      <c r="W10" s="12" t="s">
        <v>106</v>
      </c>
      <c r="X10" s="23" t="s">
        <v>226</v>
      </c>
      <c r="Y10" s="23" t="s">
        <v>205</v>
      </c>
      <c r="Z10" s="24" t="s">
        <v>56</v>
      </c>
      <c r="AA10" s="24" t="s">
        <v>56</v>
      </c>
      <c r="AB10" s="12" t="s">
        <v>100</v>
      </c>
      <c r="AC10" s="24" t="s">
        <v>56</v>
      </c>
      <c r="AD10" s="24" t="s">
        <v>56</v>
      </c>
      <c r="AE10" s="24" t="s">
        <v>202</v>
      </c>
      <c r="AF10" s="24" t="s">
        <v>203</v>
      </c>
      <c r="AG10" s="12" t="s">
        <v>106</v>
      </c>
      <c r="AH10" s="23" t="s">
        <v>207</v>
      </c>
      <c r="AI10" s="23" t="s">
        <v>224</v>
      </c>
      <c r="AJ10" s="12" t="s">
        <v>106</v>
      </c>
      <c r="AK10" s="12" t="s">
        <v>208</v>
      </c>
      <c r="AL10" s="12" t="s">
        <v>106</v>
      </c>
      <c r="AM10" s="12" t="s">
        <v>113</v>
      </c>
      <c r="AN10" s="23" t="s">
        <v>225</v>
      </c>
      <c r="AO10" s="23" t="s">
        <v>231</v>
      </c>
      <c r="AP10" s="23" t="s">
        <v>171</v>
      </c>
      <c r="AQ10" s="23" t="s">
        <v>217</v>
      </c>
    </row>
    <row r="11" spans="2:43" s="25" customFormat="1" ht="80" x14ac:dyDescent="0.2">
      <c r="B11" s="31" t="s">
        <v>214</v>
      </c>
      <c r="C11" s="12" t="s">
        <v>125</v>
      </c>
      <c r="D11" s="12" t="s">
        <v>125</v>
      </c>
      <c r="E11" s="23" t="s">
        <v>216</v>
      </c>
      <c r="F11" s="12" t="s">
        <v>100</v>
      </c>
      <c r="G11" s="12" t="s">
        <v>100</v>
      </c>
      <c r="H11" s="12" t="s">
        <v>100</v>
      </c>
      <c r="I11" s="12" t="s">
        <v>100</v>
      </c>
      <c r="J11" s="23" t="s">
        <v>56</v>
      </c>
      <c r="K11" s="12" t="s">
        <v>100</v>
      </c>
      <c r="L11" s="12" t="s">
        <v>100</v>
      </c>
      <c r="M11" s="12" t="s">
        <v>100</v>
      </c>
      <c r="N11" s="12" t="s">
        <v>188</v>
      </c>
      <c r="O11" s="23" t="s">
        <v>219</v>
      </c>
      <c r="P11" s="12" t="s">
        <v>100</v>
      </c>
      <c r="Q11" s="23" t="s">
        <v>197</v>
      </c>
      <c r="R11" s="12" t="s">
        <v>236</v>
      </c>
      <c r="S11" s="23" t="s">
        <v>222</v>
      </c>
      <c r="T11" s="12" t="s">
        <v>195</v>
      </c>
      <c r="U11" s="12"/>
      <c r="V11" s="12"/>
      <c r="W11" s="12" t="s">
        <v>228</v>
      </c>
      <c r="X11" s="23" t="s">
        <v>227</v>
      </c>
      <c r="Y11" s="23" t="s">
        <v>205</v>
      </c>
      <c r="Z11" s="24" t="s">
        <v>56</v>
      </c>
      <c r="AA11" s="24" t="s">
        <v>56</v>
      </c>
      <c r="AB11" s="12" t="s">
        <v>100</v>
      </c>
      <c r="AC11" s="24" t="s">
        <v>56</v>
      </c>
      <c r="AD11" s="24" t="s">
        <v>56</v>
      </c>
      <c r="AE11" s="24" t="s">
        <v>202</v>
      </c>
      <c r="AF11" s="12" t="s">
        <v>106</v>
      </c>
      <c r="AG11" s="24" t="s">
        <v>106</v>
      </c>
      <c r="AH11" s="24" t="s">
        <v>56</v>
      </c>
      <c r="AI11" s="12" t="s">
        <v>106</v>
      </c>
      <c r="AJ11" s="12" t="s">
        <v>106</v>
      </c>
      <c r="AK11" s="12" t="s">
        <v>208</v>
      </c>
      <c r="AL11" s="23" t="s">
        <v>106</v>
      </c>
      <c r="AM11" s="12" t="s">
        <v>113</v>
      </c>
      <c r="AN11" s="23" t="s">
        <v>225</v>
      </c>
      <c r="AO11" s="23" t="s">
        <v>231</v>
      </c>
      <c r="AP11" s="12"/>
      <c r="AQ11" s="23" t="s">
        <v>232</v>
      </c>
    </row>
    <row r="12" spans="2:43" s="25" customFormat="1" ht="112" x14ac:dyDescent="0.2">
      <c r="B12" s="30" t="s">
        <v>206</v>
      </c>
      <c r="C12" s="23" t="s">
        <v>56</v>
      </c>
      <c r="D12" s="23" t="s">
        <v>56</v>
      </c>
      <c r="E12" s="23" t="s">
        <v>56</v>
      </c>
      <c r="F12" s="12" t="s">
        <v>100</v>
      </c>
      <c r="G12" s="12" t="s">
        <v>100</v>
      </c>
      <c r="H12" s="12" t="s">
        <v>100</v>
      </c>
      <c r="I12" s="23" t="s">
        <v>56</v>
      </c>
      <c r="J12" s="23" t="s">
        <v>56</v>
      </c>
      <c r="K12" s="12" t="s">
        <v>100</v>
      </c>
      <c r="L12" s="12" t="s">
        <v>100</v>
      </c>
      <c r="M12" s="12" t="s">
        <v>100</v>
      </c>
      <c r="N12" s="23" t="s">
        <v>211</v>
      </c>
      <c r="O12" s="12" t="s">
        <v>220</v>
      </c>
      <c r="P12" s="12" t="s">
        <v>100</v>
      </c>
      <c r="Q12" s="23" t="s">
        <v>235</v>
      </c>
      <c r="R12" s="12" t="s">
        <v>210</v>
      </c>
      <c r="S12" s="23" t="s">
        <v>221</v>
      </c>
      <c r="T12" s="24" t="s">
        <v>237</v>
      </c>
      <c r="U12" s="12" t="s">
        <v>227</v>
      </c>
      <c r="V12" s="12"/>
      <c r="W12" s="12" t="s">
        <v>106</v>
      </c>
      <c r="X12" s="23" t="s">
        <v>227</v>
      </c>
      <c r="Y12" s="12" t="s">
        <v>238</v>
      </c>
      <c r="Z12" s="24" t="s">
        <v>56</v>
      </c>
      <c r="AA12" s="24" t="s">
        <v>56</v>
      </c>
      <c r="AB12" s="12" t="s">
        <v>100</v>
      </c>
      <c r="AC12" s="24" t="s">
        <v>56</v>
      </c>
      <c r="AD12" s="24" t="s">
        <v>56</v>
      </c>
      <c r="AE12" s="24" t="s">
        <v>56</v>
      </c>
      <c r="AF12" s="24" t="s">
        <v>240</v>
      </c>
      <c r="AG12" s="24" t="s">
        <v>56</v>
      </c>
      <c r="AH12" s="23" t="s">
        <v>207</v>
      </c>
      <c r="AI12" s="23" t="s">
        <v>224</v>
      </c>
      <c r="AJ12" s="12" t="s">
        <v>106</v>
      </c>
      <c r="AK12" s="12" t="s">
        <v>208</v>
      </c>
      <c r="AL12" s="23" t="s">
        <v>106</v>
      </c>
      <c r="AM12" s="12" t="s">
        <v>113</v>
      </c>
      <c r="AN12" s="12" t="s">
        <v>241</v>
      </c>
      <c r="AO12" s="23" t="s">
        <v>242</v>
      </c>
      <c r="AP12" s="12"/>
      <c r="AQ12" s="23" t="s">
        <v>233</v>
      </c>
    </row>
    <row r="13" spans="2:43" s="27" customFormat="1" ht="32" x14ac:dyDescent="0.2">
      <c r="B13" s="31" t="s">
        <v>43</v>
      </c>
      <c r="C13" s="23" t="s">
        <v>56</v>
      </c>
      <c r="D13" s="23"/>
      <c r="E13" s="23"/>
      <c r="F13" s="23"/>
      <c r="G13" s="23"/>
      <c r="H13" s="23"/>
      <c r="I13" s="23" t="s">
        <v>56</v>
      </c>
      <c r="J13" s="23" t="s">
        <v>56</v>
      </c>
      <c r="K13" s="23"/>
      <c r="L13" s="23"/>
      <c r="M13" s="23"/>
      <c r="N13" s="23" t="s">
        <v>244</v>
      </c>
      <c r="O13" s="23" t="s">
        <v>245</v>
      </c>
      <c r="P13" s="23" t="s">
        <v>100</v>
      </c>
      <c r="Q13" s="23" t="s">
        <v>100</v>
      </c>
      <c r="R13" s="23" t="s">
        <v>246</v>
      </c>
      <c r="S13" s="23" t="s">
        <v>247</v>
      </c>
      <c r="T13" s="23"/>
      <c r="U13" s="23" t="s">
        <v>248</v>
      </c>
      <c r="V13" s="23"/>
      <c r="W13" s="23" t="s">
        <v>249</v>
      </c>
      <c r="X13" s="23"/>
      <c r="Y13" s="23"/>
      <c r="Z13" s="12" t="s">
        <v>100</v>
      </c>
      <c r="AA13" s="12" t="s">
        <v>100</v>
      </c>
      <c r="AB13" s="24" t="s">
        <v>56</v>
      </c>
      <c r="AC13" s="12" t="s">
        <v>100</v>
      </c>
      <c r="AD13" s="12" t="s">
        <v>100</v>
      </c>
      <c r="AE13" s="12" t="s">
        <v>100</v>
      </c>
      <c r="AF13" s="12" t="s">
        <v>100</v>
      </c>
      <c r="AG13" s="12" t="s">
        <v>100</v>
      </c>
      <c r="AH13" s="23"/>
      <c r="AI13" s="23"/>
      <c r="AJ13" s="23"/>
      <c r="AK13" s="23"/>
      <c r="AL13" s="23"/>
      <c r="AM13" s="23"/>
      <c r="AN13" s="23"/>
      <c r="AO13" s="23"/>
      <c r="AP13" s="23"/>
      <c r="AQ13" s="23"/>
    </row>
    <row r="14" spans="2:43" s="27" customFormat="1" x14ac:dyDescent="0.2">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row>
    <row r="15" spans="2:43" s="27" customFormat="1" x14ac:dyDescent="0.2">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row>
    <row r="16" spans="2:43" s="27" customFormat="1" x14ac:dyDescent="0.2">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row>
    <row r="17" spans="2:43" s="27" customFormat="1" x14ac:dyDescent="0.2">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row>
    <row r="18" spans="2:43" s="27" customFormat="1" x14ac:dyDescent="0.2">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row>
    <row r="19" spans="2:43" s="27" customFormat="1" x14ac:dyDescent="0.2">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row>
    <row r="20" spans="2:43" s="27" customFormat="1" x14ac:dyDescent="0.2">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row>
    <row r="21" spans="2:43" s="27" customFormat="1" x14ac:dyDescent="0.2">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row>
    <row r="22" spans="2:43" s="27" customFormat="1" x14ac:dyDescent="0.2">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row>
    <row r="23" spans="2:43" s="27" customFormat="1" x14ac:dyDescent="0.2">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row>
    <row r="24" spans="2:43" s="27" customFormat="1" x14ac:dyDescent="0.2">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row>
    <row r="25" spans="2:43" s="27" customFormat="1" x14ac:dyDescent="0.2">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row>
    <row r="26" spans="2:43" s="27" customFormat="1" x14ac:dyDescent="0.2">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row>
    <row r="27" spans="2:43" s="27" customFormat="1" x14ac:dyDescent="0.2">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row>
    <row r="28" spans="2:43" s="27" customFormat="1" x14ac:dyDescent="0.2">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row>
    <row r="29" spans="2:43" s="27" customFormat="1" x14ac:dyDescent="0.2">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row>
    <row r="30" spans="2:43" s="27" customFormat="1" x14ac:dyDescent="0.2">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row>
  </sheetData>
  <mergeCells count="29">
    <mergeCell ref="P2:V2"/>
    <mergeCell ref="P3:S3"/>
    <mergeCell ref="AM3:AM4"/>
    <mergeCell ref="AN3:AN4"/>
    <mergeCell ref="B2:B4"/>
    <mergeCell ref="C3:I3"/>
    <mergeCell ref="J3:M3"/>
    <mergeCell ref="C2:O2"/>
    <mergeCell ref="N3:N4"/>
    <mergeCell ref="O3:O4"/>
    <mergeCell ref="T3:T4"/>
    <mergeCell ref="U3:U4"/>
    <mergeCell ref="V3:V4"/>
    <mergeCell ref="W2:Y2"/>
    <mergeCell ref="Z2:AL2"/>
    <mergeCell ref="AM2:AQ2"/>
    <mergeCell ref="AO3:AO4"/>
    <mergeCell ref="AQ3:AQ4"/>
    <mergeCell ref="AH3:AH4"/>
    <mergeCell ref="AI3:AI4"/>
    <mergeCell ref="AJ3:AJ4"/>
    <mergeCell ref="AK3:AK4"/>
    <mergeCell ref="AL3:AL4"/>
    <mergeCell ref="AP3:AP4"/>
    <mergeCell ref="Z3:AC3"/>
    <mergeCell ref="AD3:AG3"/>
    <mergeCell ref="W3:W4"/>
    <mergeCell ref="X3:X4"/>
    <mergeCell ref="Y3:Y4"/>
  </mergeCells>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BCD9-8B5C-9D4A-A1E6-09B1BA1692BB}">
  <sheetPr codeName="Sheet4"/>
  <dimension ref="A2:FG32"/>
  <sheetViews>
    <sheetView zoomScale="19" zoomScaleNormal="13" workbookViewId="0">
      <selection activeCell="BT11" sqref="BT11:BV11"/>
    </sheetView>
  </sheetViews>
  <sheetFormatPr baseColWidth="10" defaultColWidth="8.83203125" defaultRowHeight="47" x14ac:dyDescent="0.55000000000000004"/>
  <cols>
    <col min="1" max="1" width="9.33203125" style="35" customWidth="1"/>
    <col min="2" max="2" width="29.6640625" style="35" bestFit="1" customWidth="1"/>
    <col min="3" max="3" width="8.33203125" customWidth="1"/>
    <col min="4" max="4" width="24.6640625" style="35" customWidth="1"/>
    <col min="5" max="5" width="18.6640625" style="35" bestFit="1" customWidth="1"/>
    <col min="6" max="6" width="31.6640625" style="35" bestFit="1" customWidth="1"/>
    <col min="7" max="7" width="29.1640625" style="35" bestFit="1" customWidth="1"/>
    <col min="8" max="8" width="28.1640625" style="35" bestFit="1" customWidth="1"/>
    <col min="9" max="9" width="24.6640625" style="35" bestFit="1" customWidth="1"/>
    <col min="10" max="10" width="23.83203125" style="35" bestFit="1" customWidth="1"/>
    <col min="11" max="11" width="6" style="35" customWidth="1"/>
    <col min="12" max="12" width="44" style="35" bestFit="1" customWidth="1"/>
    <col min="13" max="13" width="43.83203125" style="35" bestFit="1" customWidth="1"/>
    <col min="14" max="14" width="78" style="35" customWidth="1"/>
    <col min="15" max="15" width="59.1640625" style="35" customWidth="1"/>
    <col min="16" max="16" width="5.83203125" style="35" customWidth="1"/>
    <col min="17" max="17" width="35.5" style="35" bestFit="1" customWidth="1"/>
    <col min="18" max="18" width="30" style="35" bestFit="1" customWidth="1"/>
    <col min="19" max="19" width="23" style="35" bestFit="1" customWidth="1"/>
    <col min="20" max="20" width="62.83203125" style="35" customWidth="1"/>
    <col min="21" max="21" width="6.1640625" style="35" customWidth="1"/>
    <col min="22" max="22" width="35.5" style="35" bestFit="1" customWidth="1"/>
    <col min="23" max="23" width="37" style="35" bestFit="1" customWidth="1"/>
    <col min="24" max="24" width="23" style="35" bestFit="1" customWidth="1"/>
    <col min="25" max="25" width="58.6640625" style="35" customWidth="1"/>
    <col min="26" max="26" width="5.5" style="35" customWidth="1"/>
    <col min="27" max="27" width="35.5" style="35" bestFit="1" customWidth="1"/>
    <col min="28" max="28" width="30" style="35" bestFit="1" customWidth="1"/>
    <col min="29" max="29" width="35.33203125" style="35" bestFit="1" customWidth="1"/>
    <col min="30" max="30" width="49.33203125" style="35" bestFit="1" customWidth="1"/>
    <col min="31" max="31" width="5.5" style="35" customWidth="1"/>
    <col min="32" max="32" width="35.5" style="35" bestFit="1" customWidth="1"/>
    <col min="33" max="33" width="30" style="35" bestFit="1" customWidth="1"/>
    <col min="34" max="34" width="46.6640625" style="35" customWidth="1"/>
    <col min="35" max="35" width="55" style="35" customWidth="1"/>
    <col min="36" max="36" width="5.5" style="35" customWidth="1"/>
    <col min="37" max="37" width="44" style="35" bestFit="1" customWidth="1"/>
    <col min="38" max="38" width="44" style="35" customWidth="1"/>
    <col min="39" max="39" width="37.5" style="35" customWidth="1"/>
    <col min="40" max="40" width="56.6640625" style="35" customWidth="1"/>
    <col min="41" max="41" width="76.6640625" style="35" customWidth="1"/>
    <col min="42" max="42" width="6.1640625" style="35" customWidth="1"/>
    <col min="43" max="43" width="53.33203125" style="35" customWidth="1"/>
    <col min="44" max="44" width="72.1640625" style="35" bestFit="1" customWidth="1"/>
    <col min="45" max="45" width="26.5" style="35" bestFit="1" customWidth="1"/>
    <col min="46" max="46" width="94.33203125" style="35" customWidth="1"/>
    <col min="47" max="47" width="76.6640625" style="35" bestFit="1" customWidth="1"/>
    <col min="48" max="48" width="64.83203125" style="35" bestFit="1" customWidth="1"/>
    <col min="49" max="49" width="55" style="35" bestFit="1" customWidth="1"/>
    <col min="50" max="50" width="44.33203125" style="35" bestFit="1" customWidth="1"/>
    <col min="51" max="51" width="42" style="35" customWidth="1"/>
    <col min="52" max="52" width="27.6640625" style="35" customWidth="1"/>
    <col min="53" max="53" width="20.83203125" style="35" bestFit="1" customWidth="1"/>
    <col min="54" max="54" width="30.33203125" style="35" customWidth="1"/>
    <col min="55" max="55" width="32.5" style="35" bestFit="1" customWidth="1"/>
    <col min="56" max="56" width="20.83203125" style="35" bestFit="1" customWidth="1"/>
    <col min="57" max="57" width="22.6640625" style="35" bestFit="1" customWidth="1"/>
    <col min="58" max="58" width="22.6640625" style="35" customWidth="1"/>
    <col min="59" max="59" width="28" style="35" customWidth="1"/>
    <col min="60" max="60" width="22.6640625" style="35" customWidth="1"/>
    <col min="61" max="61" width="19.83203125" style="35" bestFit="1" customWidth="1"/>
    <col min="62" max="62" width="24.33203125" style="35" customWidth="1"/>
    <col min="63" max="63" width="18.33203125" style="35" bestFit="1" customWidth="1"/>
    <col min="64" max="64" width="33.6640625" style="35" customWidth="1"/>
    <col min="65" max="65" width="78" style="35" customWidth="1"/>
    <col min="66" max="66" width="62" style="35" bestFit="1" customWidth="1"/>
    <col min="67" max="67" width="21.6640625" style="35" bestFit="1" customWidth="1"/>
    <col min="68" max="68" width="35.5" style="35" bestFit="1" customWidth="1"/>
    <col min="69" max="69" width="40.33203125" style="35" bestFit="1" customWidth="1"/>
    <col min="70" max="70" width="129.83203125" style="35" customWidth="1"/>
    <col min="71" max="71" width="98.1640625" style="35" bestFit="1" customWidth="1"/>
    <col min="72" max="72" width="38.33203125" style="35" bestFit="1" customWidth="1"/>
    <col min="73" max="73" width="26.6640625" style="35" bestFit="1" customWidth="1"/>
    <col min="74" max="74" width="13.83203125" style="35" bestFit="1" customWidth="1"/>
    <col min="75" max="75" width="16.83203125" style="35" bestFit="1" customWidth="1"/>
    <col min="76" max="76" width="113.33203125" style="35" bestFit="1" customWidth="1"/>
    <col min="77" max="77" width="44.83203125" style="35" bestFit="1" customWidth="1"/>
    <col min="78" max="78" width="16" style="35" bestFit="1" customWidth="1"/>
    <col min="79" max="79" width="14.1640625" style="35" bestFit="1" customWidth="1"/>
    <col min="80" max="80" width="19.5" style="35" bestFit="1" customWidth="1"/>
    <col min="81" max="81" width="26.83203125" style="35" bestFit="1" customWidth="1"/>
    <col min="82" max="82" width="22.33203125" style="35" bestFit="1" customWidth="1"/>
    <col min="83" max="83" width="55.1640625" style="35" bestFit="1" customWidth="1"/>
    <col min="84" max="84" width="28.5" style="35" bestFit="1" customWidth="1"/>
    <col min="85" max="85" width="16.83203125" style="35" bestFit="1" customWidth="1"/>
    <col min="86" max="16384" width="8.83203125" style="35"/>
  </cols>
  <sheetData>
    <row r="2" spans="1:163" ht="47" customHeight="1" x14ac:dyDescent="0.55000000000000004">
      <c r="B2" s="154" t="s">
        <v>16</v>
      </c>
      <c r="D2" s="166" t="s">
        <v>3</v>
      </c>
      <c r="E2" s="166"/>
      <c r="F2" s="166"/>
      <c r="G2" s="166"/>
      <c r="H2" s="166"/>
      <c r="I2" s="166"/>
      <c r="J2" s="166"/>
      <c r="L2" s="167" t="s">
        <v>250</v>
      </c>
      <c r="M2" s="168"/>
      <c r="N2" s="168"/>
      <c r="O2" s="168"/>
      <c r="P2" s="168"/>
      <c r="Q2" s="168"/>
      <c r="R2" s="168"/>
      <c r="S2" s="168"/>
      <c r="T2" s="168"/>
      <c r="U2" s="168"/>
      <c r="V2" s="168"/>
      <c r="W2" s="168"/>
      <c r="X2" s="168"/>
      <c r="Y2" s="168"/>
      <c r="Z2" s="168"/>
      <c r="AA2" s="168"/>
      <c r="AB2" s="168"/>
      <c r="AC2" s="168"/>
      <c r="AD2" s="168"/>
      <c r="AE2" s="168"/>
      <c r="AF2" s="168"/>
      <c r="AG2" s="168"/>
      <c r="AH2" s="168"/>
      <c r="AI2" s="168"/>
      <c r="AJ2"/>
      <c r="AK2" s="139" t="s">
        <v>308</v>
      </c>
      <c r="AL2" s="139"/>
      <c r="AM2" s="139"/>
      <c r="AN2" s="139"/>
      <c r="AO2" s="139"/>
      <c r="AQ2" s="137" t="s">
        <v>268</v>
      </c>
      <c r="AR2" s="137"/>
      <c r="AS2" s="137"/>
      <c r="AU2" s="145" t="s">
        <v>262</v>
      </c>
      <c r="AV2" s="145"/>
      <c r="AW2" s="145"/>
      <c r="AX2" s="145"/>
      <c r="AY2" s="145"/>
      <c r="AZ2" s="145"/>
      <c r="BA2" s="145"/>
      <c r="BB2" s="145"/>
      <c r="BC2" s="145"/>
      <c r="BD2" s="145"/>
      <c r="BE2" s="145"/>
      <c r="BF2" s="145"/>
      <c r="BG2" s="145"/>
      <c r="BH2" s="145"/>
      <c r="BI2" s="145"/>
      <c r="BJ2" s="145"/>
      <c r="BK2" s="145"/>
      <c r="BL2" s="146"/>
      <c r="BN2" s="142" t="s">
        <v>10</v>
      </c>
      <c r="BO2" s="143"/>
      <c r="BP2" s="143"/>
      <c r="BQ2" s="143"/>
      <c r="BR2" s="143"/>
      <c r="BS2" s="143"/>
      <c r="BT2" s="143"/>
      <c r="BU2" s="143"/>
      <c r="BV2" s="144"/>
      <c r="BW2"/>
    </row>
    <row r="3" spans="1:163" ht="47" customHeight="1" x14ac:dyDescent="0.55000000000000004">
      <c r="B3" s="154"/>
      <c r="D3" s="163" t="s">
        <v>284</v>
      </c>
      <c r="E3" s="155" t="s">
        <v>251</v>
      </c>
      <c r="F3" s="155" t="s">
        <v>252</v>
      </c>
      <c r="G3" s="155" t="s">
        <v>283</v>
      </c>
      <c r="H3" s="155" t="s">
        <v>253</v>
      </c>
      <c r="I3" s="155" t="s">
        <v>254</v>
      </c>
      <c r="J3" s="155" t="s">
        <v>255</v>
      </c>
      <c r="L3" s="156" t="s">
        <v>52</v>
      </c>
      <c r="M3" s="157"/>
      <c r="N3" s="157"/>
      <c r="O3" s="158"/>
      <c r="P3" s="44"/>
      <c r="Q3" s="156" t="s">
        <v>53</v>
      </c>
      <c r="R3" s="157"/>
      <c r="S3" s="157"/>
      <c r="T3" s="158"/>
      <c r="U3" s="44"/>
      <c r="V3" s="156" t="s">
        <v>54</v>
      </c>
      <c r="W3" s="157"/>
      <c r="X3" s="157"/>
      <c r="Y3" s="158"/>
      <c r="Z3" s="44"/>
      <c r="AA3" s="156" t="s">
        <v>271</v>
      </c>
      <c r="AB3" s="157"/>
      <c r="AC3" s="157"/>
      <c r="AD3" s="158"/>
      <c r="AE3" s="44"/>
      <c r="AF3" s="156" t="s">
        <v>124</v>
      </c>
      <c r="AG3" s="157"/>
      <c r="AH3" s="157"/>
      <c r="AI3" s="158"/>
      <c r="AJ3" s="44"/>
      <c r="AK3" s="138" t="s">
        <v>315</v>
      </c>
      <c r="AL3" s="138"/>
      <c r="AM3" s="138"/>
      <c r="AN3" s="138"/>
      <c r="AO3" s="159" t="s">
        <v>289</v>
      </c>
      <c r="AQ3" s="160" t="s">
        <v>269</v>
      </c>
      <c r="AR3" s="160" t="s">
        <v>290</v>
      </c>
      <c r="AS3" s="160" t="s">
        <v>270</v>
      </c>
      <c r="AU3" s="141" t="s">
        <v>67</v>
      </c>
      <c r="AV3" s="141" t="s">
        <v>65</v>
      </c>
      <c r="AW3" s="141" t="s">
        <v>69</v>
      </c>
      <c r="AX3" s="141" t="s">
        <v>68</v>
      </c>
      <c r="AY3" s="141" t="s">
        <v>264</v>
      </c>
      <c r="AZ3" s="152" t="s">
        <v>305</v>
      </c>
      <c r="BA3" s="152"/>
      <c r="BB3" s="152"/>
      <c r="BC3" s="152"/>
      <c r="BD3" s="152"/>
      <c r="BE3" s="152"/>
      <c r="BF3" s="152"/>
      <c r="BG3" s="152"/>
      <c r="BH3" s="152"/>
      <c r="BI3" s="152"/>
      <c r="BJ3" s="152"/>
      <c r="BK3" s="152"/>
      <c r="BL3" s="152"/>
      <c r="BN3" s="140" t="s">
        <v>70</v>
      </c>
      <c r="BO3" s="140" t="s">
        <v>75</v>
      </c>
      <c r="BP3" s="140" t="s">
        <v>76</v>
      </c>
      <c r="BQ3" s="140" t="s">
        <v>77</v>
      </c>
      <c r="BR3" s="140" t="s">
        <v>93</v>
      </c>
      <c r="BS3" s="140" t="s">
        <v>78</v>
      </c>
      <c r="BT3" s="140" t="s">
        <v>277</v>
      </c>
      <c r="BU3" s="140"/>
      <c r="BV3" s="140"/>
    </row>
    <row r="4" spans="1:163" ht="47" customHeight="1" x14ac:dyDescent="0.55000000000000004">
      <c r="B4" s="154"/>
      <c r="D4" s="164"/>
      <c r="E4" s="155"/>
      <c r="F4" s="155"/>
      <c r="G4" s="155"/>
      <c r="H4" s="155"/>
      <c r="I4" s="155"/>
      <c r="J4" s="155"/>
      <c r="L4" s="153" t="s">
        <v>307</v>
      </c>
      <c r="M4" s="153"/>
      <c r="N4" s="153"/>
      <c r="O4" s="153" t="s">
        <v>311</v>
      </c>
      <c r="P4" s="44"/>
      <c r="Q4" s="153" t="s">
        <v>307</v>
      </c>
      <c r="R4" s="153"/>
      <c r="S4" s="153"/>
      <c r="T4" s="153" t="s">
        <v>306</v>
      </c>
      <c r="U4" s="44"/>
      <c r="V4" s="153" t="s">
        <v>307</v>
      </c>
      <c r="W4" s="153"/>
      <c r="X4" s="153"/>
      <c r="Y4" s="153" t="s">
        <v>306</v>
      </c>
      <c r="Z4" s="44"/>
      <c r="AA4" s="153" t="s">
        <v>307</v>
      </c>
      <c r="AB4" s="153"/>
      <c r="AC4" s="153"/>
      <c r="AD4" s="153" t="s">
        <v>306</v>
      </c>
      <c r="AE4" s="44"/>
      <c r="AF4" s="153" t="s">
        <v>307</v>
      </c>
      <c r="AG4" s="153"/>
      <c r="AH4" s="153"/>
      <c r="AI4" s="153" t="s">
        <v>306</v>
      </c>
      <c r="AJ4" s="44"/>
      <c r="AK4" s="138" t="s">
        <v>309</v>
      </c>
      <c r="AL4" s="147" t="s">
        <v>310</v>
      </c>
      <c r="AM4" s="138" t="s">
        <v>258</v>
      </c>
      <c r="AN4" s="138" t="s">
        <v>319</v>
      </c>
      <c r="AO4" s="159"/>
      <c r="AQ4" s="160"/>
      <c r="AR4" s="160"/>
      <c r="AS4" s="160"/>
      <c r="AU4" s="141"/>
      <c r="AV4" s="141"/>
      <c r="AW4" s="141"/>
      <c r="AX4" s="141"/>
      <c r="AY4" s="141"/>
      <c r="AZ4" s="152" t="s">
        <v>81</v>
      </c>
      <c r="BA4" s="152" t="s">
        <v>64</v>
      </c>
      <c r="BB4" s="152" t="s">
        <v>287</v>
      </c>
      <c r="BC4" s="152" t="s">
        <v>62</v>
      </c>
      <c r="BD4" s="152" t="s">
        <v>58</v>
      </c>
      <c r="BE4" s="152" t="s">
        <v>299</v>
      </c>
      <c r="BF4" s="149" t="s">
        <v>332</v>
      </c>
      <c r="BG4" s="150"/>
      <c r="BH4" s="151"/>
      <c r="BI4" s="152" t="s">
        <v>71</v>
      </c>
      <c r="BJ4" s="152" t="s">
        <v>8</v>
      </c>
      <c r="BK4" s="152" t="s">
        <v>72</v>
      </c>
      <c r="BL4" s="161" t="s">
        <v>300</v>
      </c>
      <c r="BN4" s="140"/>
      <c r="BO4" s="140"/>
      <c r="BP4" s="140"/>
      <c r="BQ4" s="140"/>
      <c r="BR4" s="140"/>
      <c r="BS4" s="140"/>
      <c r="BT4" s="140" t="s">
        <v>83</v>
      </c>
      <c r="BU4" s="140" t="s">
        <v>103</v>
      </c>
      <c r="BV4" s="140" t="s">
        <v>57</v>
      </c>
    </row>
    <row r="5" spans="1:163" s="39" customFormat="1" ht="200" customHeight="1" x14ac:dyDescent="0.55000000000000004">
      <c r="B5" s="154"/>
      <c r="C5"/>
      <c r="D5" s="165"/>
      <c r="E5" s="155"/>
      <c r="F5" s="155"/>
      <c r="G5" s="155"/>
      <c r="H5" s="155"/>
      <c r="I5" s="155"/>
      <c r="J5" s="155"/>
      <c r="L5" s="45" t="s">
        <v>84</v>
      </c>
      <c r="M5" s="45" t="s">
        <v>85</v>
      </c>
      <c r="N5" s="45" t="s">
        <v>86</v>
      </c>
      <c r="O5" s="153"/>
      <c r="P5" s="44"/>
      <c r="Q5" s="45" t="s">
        <v>84</v>
      </c>
      <c r="R5" s="45" t="s">
        <v>85</v>
      </c>
      <c r="S5" s="45" t="s">
        <v>86</v>
      </c>
      <c r="T5" s="153"/>
      <c r="U5" s="44"/>
      <c r="V5" s="45" t="s">
        <v>84</v>
      </c>
      <c r="W5" s="45" t="s">
        <v>85</v>
      </c>
      <c r="X5" s="45" t="s">
        <v>86</v>
      </c>
      <c r="Y5" s="153"/>
      <c r="Z5" s="44"/>
      <c r="AA5" s="45" t="s">
        <v>84</v>
      </c>
      <c r="AB5" s="45" t="s">
        <v>85</v>
      </c>
      <c r="AC5" s="45" t="s">
        <v>86</v>
      </c>
      <c r="AD5" s="153"/>
      <c r="AE5" s="44"/>
      <c r="AF5" s="45" t="s">
        <v>84</v>
      </c>
      <c r="AG5" s="45" t="s">
        <v>85</v>
      </c>
      <c r="AH5" s="45" t="s">
        <v>86</v>
      </c>
      <c r="AI5" s="153"/>
      <c r="AJ5" s="44"/>
      <c r="AK5" s="138"/>
      <c r="AL5" s="148"/>
      <c r="AM5" s="138"/>
      <c r="AN5" s="138"/>
      <c r="AO5" s="159"/>
      <c r="AQ5" s="160"/>
      <c r="AR5" s="160"/>
      <c r="AS5" s="160"/>
      <c r="AU5" s="141"/>
      <c r="AV5" s="141"/>
      <c r="AW5" s="141"/>
      <c r="AX5" s="141"/>
      <c r="AY5" s="141"/>
      <c r="AZ5" s="152"/>
      <c r="BA5" s="152"/>
      <c r="BB5" s="152"/>
      <c r="BC5" s="152"/>
      <c r="BD5" s="152"/>
      <c r="BE5" s="152"/>
      <c r="BF5" s="43" t="s">
        <v>329</v>
      </c>
      <c r="BG5" s="43" t="s">
        <v>330</v>
      </c>
      <c r="BH5" s="43" t="s">
        <v>331</v>
      </c>
      <c r="BI5" s="152"/>
      <c r="BJ5" s="152"/>
      <c r="BK5" s="152"/>
      <c r="BL5" s="162"/>
      <c r="BN5" s="140"/>
      <c r="BO5" s="140"/>
      <c r="BP5" s="140"/>
      <c r="BQ5" s="140"/>
      <c r="BR5" s="140"/>
      <c r="BS5" s="140"/>
      <c r="BT5" s="140"/>
      <c r="BU5" s="140"/>
      <c r="BV5" s="140"/>
      <c r="DE5" s="35"/>
      <c r="DF5" s="35"/>
    </row>
    <row r="6" spans="1:163" customFormat="1" ht="32" customHeight="1" x14ac:dyDescent="0.2"/>
    <row r="7" spans="1:163" s="39" customFormat="1" ht="409" customHeight="1" x14ac:dyDescent="0.55000000000000004">
      <c r="B7" s="41" t="s">
        <v>28</v>
      </c>
      <c r="C7"/>
      <c r="D7" s="36" t="s">
        <v>56</v>
      </c>
      <c r="E7" s="36" t="s">
        <v>56</v>
      </c>
      <c r="F7" s="36" t="s">
        <v>56</v>
      </c>
      <c r="G7" s="36" t="s">
        <v>56</v>
      </c>
      <c r="H7" s="36" t="s">
        <v>56</v>
      </c>
      <c r="I7" s="36" t="s">
        <v>100</v>
      </c>
      <c r="J7" s="36" t="s">
        <v>100</v>
      </c>
      <c r="L7" s="38" t="s">
        <v>100</v>
      </c>
      <c r="M7" s="38" t="s">
        <v>100</v>
      </c>
      <c r="N7" s="38" t="s">
        <v>100</v>
      </c>
      <c r="O7" s="38" t="s">
        <v>100</v>
      </c>
      <c r="P7" s="44"/>
      <c r="Q7" s="38" t="s">
        <v>100</v>
      </c>
      <c r="R7" s="38" t="s">
        <v>100</v>
      </c>
      <c r="S7" s="38" t="s">
        <v>100</v>
      </c>
      <c r="T7" s="38" t="s">
        <v>100</v>
      </c>
      <c r="U7" s="44"/>
      <c r="V7" s="38" t="s">
        <v>100</v>
      </c>
      <c r="W7" s="38" t="s">
        <v>100</v>
      </c>
      <c r="X7" s="38" t="s">
        <v>100</v>
      </c>
      <c r="Y7" s="38" t="s">
        <v>100</v>
      </c>
      <c r="Z7" s="44"/>
      <c r="AA7" s="38" t="s">
        <v>100</v>
      </c>
      <c r="AB7" s="38" t="s">
        <v>100</v>
      </c>
      <c r="AC7" s="38" t="s">
        <v>100</v>
      </c>
      <c r="AD7" s="38" t="s">
        <v>100</v>
      </c>
      <c r="AE7" s="44"/>
      <c r="AF7" s="38" t="s">
        <v>100</v>
      </c>
      <c r="AG7" s="38" t="s">
        <v>125</v>
      </c>
      <c r="AH7" s="38" t="s">
        <v>100</v>
      </c>
      <c r="AI7" s="36" t="s">
        <v>346</v>
      </c>
      <c r="AJ7" s="44"/>
      <c r="AK7" s="38" t="s">
        <v>56</v>
      </c>
      <c r="AL7" s="38" t="s">
        <v>100</v>
      </c>
      <c r="AM7" s="38" t="s">
        <v>100</v>
      </c>
      <c r="AN7" s="38" t="s">
        <v>100</v>
      </c>
      <c r="AO7" s="38" t="s">
        <v>100</v>
      </c>
      <c r="AQ7" s="38" t="s">
        <v>100</v>
      </c>
      <c r="AR7" s="38" t="s">
        <v>56</v>
      </c>
      <c r="AS7" s="38" t="s">
        <v>100</v>
      </c>
      <c r="AU7" s="38"/>
      <c r="AV7" s="38" t="s">
        <v>179</v>
      </c>
      <c r="AW7" s="38"/>
      <c r="AX7" s="38" t="s">
        <v>100</v>
      </c>
      <c r="AY7" s="38"/>
      <c r="AZ7" s="38" t="s">
        <v>56</v>
      </c>
      <c r="BA7" s="38" t="s">
        <v>56</v>
      </c>
      <c r="BB7" s="38" t="s">
        <v>100</v>
      </c>
      <c r="BC7" s="38" t="s">
        <v>56</v>
      </c>
      <c r="BD7" s="38" t="s">
        <v>100</v>
      </c>
      <c r="BE7" s="38" t="s">
        <v>100</v>
      </c>
      <c r="BF7" s="36" t="s">
        <v>56</v>
      </c>
      <c r="BG7" s="36" t="s">
        <v>56</v>
      </c>
      <c r="BH7" s="38" t="s">
        <v>100</v>
      </c>
      <c r="BI7" s="36" t="s">
        <v>56</v>
      </c>
      <c r="BJ7" s="36" t="s">
        <v>56</v>
      </c>
      <c r="BK7" s="36" t="s">
        <v>56</v>
      </c>
      <c r="BL7" s="38" t="s">
        <v>100</v>
      </c>
      <c r="BN7" s="36"/>
      <c r="BO7" s="36"/>
      <c r="BP7" s="36"/>
      <c r="BQ7" s="36"/>
      <c r="BR7" s="36"/>
      <c r="BS7" s="36"/>
      <c r="BT7" s="38" t="s">
        <v>100</v>
      </c>
      <c r="BU7" s="40" t="s">
        <v>56</v>
      </c>
      <c r="BV7" s="38" t="s">
        <v>100</v>
      </c>
      <c r="DE7" s="35"/>
      <c r="DF7" s="35"/>
    </row>
    <row r="8" spans="1:163" s="39" customFormat="1" ht="409.6" x14ac:dyDescent="0.55000000000000004">
      <c r="B8" s="41" t="s">
        <v>313</v>
      </c>
      <c r="C8"/>
      <c r="D8" s="36" t="s">
        <v>56</v>
      </c>
      <c r="E8" s="36" t="s">
        <v>56</v>
      </c>
      <c r="F8" s="36" t="s">
        <v>56</v>
      </c>
      <c r="G8" s="36" t="s">
        <v>56</v>
      </c>
      <c r="H8" s="36" t="s">
        <v>56</v>
      </c>
      <c r="I8" s="36" t="s">
        <v>100</v>
      </c>
      <c r="J8" s="36" t="s">
        <v>100</v>
      </c>
      <c r="L8" s="36" t="s">
        <v>100</v>
      </c>
      <c r="M8" s="36" t="s">
        <v>104</v>
      </c>
      <c r="N8" s="36" t="s">
        <v>340</v>
      </c>
      <c r="O8" s="36" t="s">
        <v>343</v>
      </c>
      <c r="P8" s="44"/>
      <c r="Q8" s="36" t="s">
        <v>100</v>
      </c>
      <c r="R8" s="38" t="s">
        <v>125</v>
      </c>
      <c r="S8" s="36" t="s">
        <v>100</v>
      </c>
      <c r="T8" s="36" t="s">
        <v>343</v>
      </c>
      <c r="U8" s="44"/>
      <c r="V8" s="36" t="s">
        <v>100</v>
      </c>
      <c r="W8" s="38" t="s">
        <v>126</v>
      </c>
      <c r="X8" s="36" t="s">
        <v>100</v>
      </c>
      <c r="Y8" s="36" t="s">
        <v>286</v>
      </c>
      <c r="Z8" s="44"/>
      <c r="AA8" s="38" t="s">
        <v>100</v>
      </c>
      <c r="AB8" s="38" t="s">
        <v>100</v>
      </c>
      <c r="AC8" s="38" t="s">
        <v>100</v>
      </c>
      <c r="AD8" s="38" t="s">
        <v>100</v>
      </c>
      <c r="AE8" s="44"/>
      <c r="AF8" s="38" t="s">
        <v>278</v>
      </c>
      <c r="AG8" s="38" t="s">
        <v>100</v>
      </c>
      <c r="AH8" s="38" t="s">
        <v>351</v>
      </c>
      <c r="AI8" s="36" t="s">
        <v>353</v>
      </c>
      <c r="AJ8" s="44"/>
      <c r="AK8" s="38" t="s">
        <v>56</v>
      </c>
      <c r="AL8" s="38" t="s">
        <v>100</v>
      </c>
      <c r="AM8" s="38" t="s">
        <v>100</v>
      </c>
      <c r="AN8" s="38" t="s">
        <v>100</v>
      </c>
      <c r="AO8" s="38" t="s">
        <v>328</v>
      </c>
      <c r="AQ8" s="36" t="s">
        <v>377</v>
      </c>
      <c r="AR8" s="36" t="s">
        <v>352</v>
      </c>
      <c r="AS8" s="38" t="s">
        <v>100</v>
      </c>
      <c r="AU8" s="36" t="s">
        <v>134</v>
      </c>
      <c r="AV8" s="38" t="s">
        <v>130</v>
      </c>
      <c r="AW8" s="38"/>
      <c r="AX8" s="38" t="s">
        <v>100</v>
      </c>
      <c r="AY8" s="38"/>
      <c r="AZ8" s="38" t="s">
        <v>56</v>
      </c>
      <c r="BA8" s="38" t="s">
        <v>56</v>
      </c>
      <c r="BB8" s="38" t="s">
        <v>100</v>
      </c>
      <c r="BC8" s="38" t="s">
        <v>56</v>
      </c>
      <c r="BD8" s="38" t="s">
        <v>100</v>
      </c>
      <c r="BE8" s="38" t="s">
        <v>100</v>
      </c>
      <c r="BF8" s="36" t="s">
        <v>56</v>
      </c>
      <c r="BG8" s="38" t="s">
        <v>100</v>
      </c>
      <c r="BH8" s="38" t="s">
        <v>100</v>
      </c>
      <c r="BI8" s="36" t="s">
        <v>56</v>
      </c>
      <c r="BJ8" s="36" t="s">
        <v>56</v>
      </c>
      <c r="BK8" s="36" t="s">
        <v>56</v>
      </c>
      <c r="BL8" s="38" t="s">
        <v>100</v>
      </c>
      <c r="BN8" s="36" t="s">
        <v>140</v>
      </c>
      <c r="BO8" s="36" t="s">
        <v>146</v>
      </c>
      <c r="BP8" s="36" t="s">
        <v>147</v>
      </c>
      <c r="BQ8" s="36" t="s">
        <v>138</v>
      </c>
      <c r="BR8" s="36" t="s">
        <v>29</v>
      </c>
      <c r="BS8" s="36" t="s">
        <v>139</v>
      </c>
      <c r="BT8" s="38" t="s">
        <v>100</v>
      </c>
      <c r="BU8" s="38" t="s">
        <v>100</v>
      </c>
      <c r="BV8" s="38" t="s">
        <v>100</v>
      </c>
      <c r="DE8" s="35"/>
      <c r="DF8" s="35"/>
    </row>
    <row r="9" spans="1:163" s="39" customFormat="1" ht="409.6" x14ac:dyDescent="0.55000000000000004">
      <c r="B9" s="41" t="s">
        <v>312</v>
      </c>
      <c r="C9"/>
      <c r="D9" s="36" t="s">
        <v>56</v>
      </c>
      <c r="E9" s="36" t="s">
        <v>56</v>
      </c>
      <c r="F9" s="36" t="s">
        <v>56</v>
      </c>
      <c r="G9" s="36" t="s">
        <v>56</v>
      </c>
      <c r="H9" s="36" t="s">
        <v>56</v>
      </c>
      <c r="I9" s="36" t="s">
        <v>100</v>
      </c>
      <c r="J9" s="36" t="s">
        <v>100</v>
      </c>
      <c r="L9" s="36" t="s">
        <v>100</v>
      </c>
      <c r="M9" s="36" t="s">
        <v>104</v>
      </c>
      <c r="N9" s="36" t="s">
        <v>341</v>
      </c>
      <c r="O9" s="36" t="s">
        <v>344</v>
      </c>
      <c r="P9" s="44"/>
      <c r="Q9" s="36" t="s">
        <v>100</v>
      </c>
      <c r="R9" s="38" t="s">
        <v>125</v>
      </c>
      <c r="S9" s="36" t="s">
        <v>100</v>
      </c>
      <c r="T9" s="36" t="s">
        <v>344</v>
      </c>
      <c r="U9" s="44"/>
      <c r="V9" s="36" t="s">
        <v>100</v>
      </c>
      <c r="W9" s="38" t="s">
        <v>126</v>
      </c>
      <c r="X9" s="36" t="s">
        <v>100</v>
      </c>
      <c r="Y9" s="36" t="s">
        <v>286</v>
      </c>
      <c r="Z9" s="44"/>
      <c r="AA9" s="38" t="s">
        <v>100</v>
      </c>
      <c r="AB9" s="38" t="s">
        <v>100</v>
      </c>
      <c r="AC9" s="38" t="s">
        <v>100</v>
      </c>
      <c r="AD9" s="38" t="s">
        <v>100</v>
      </c>
      <c r="AE9" s="44"/>
      <c r="AF9" s="38" t="s">
        <v>278</v>
      </c>
      <c r="AG9" s="38" t="s">
        <v>100</v>
      </c>
      <c r="AH9" s="38" t="s">
        <v>279</v>
      </c>
      <c r="AI9" s="36" t="s">
        <v>344</v>
      </c>
      <c r="AJ9" s="44"/>
      <c r="AK9" s="38" t="s">
        <v>100</v>
      </c>
      <c r="AL9" s="38" t="s">
        <v>327</v>
      </c>
      <c r="AM9" s="38" t="s">
        <v>100</v>
      </c>
      <c r="AN9" s="38" t="s">
        <v>100</v>
      </c>
      <c r="AO9" s="38" t="s">
        <v>328</v>
      </c>
      <c r="AQ9" s="36" t="s">
        <v>377</v>
      </c>
      <c r="AR9" s="36" t="s">
        <v>352</v>
      </c>
      <c r="AS9" s="38" t="s">
        <v>100</v>
      </c>
      <c r="AU9" s="36" t="s">
        <v>134</v>
      </c>
      <c r="AV9" s="38" t="s">
        <v>314</v>
      </c>
      <c r="AW9" s="38"/>
      <c r="AX9" s="38" t="s">
        <v>100</v>
      </c>
      <c r="AY9" s="38"/>
      <c r="AZ9" s="38" t="s">
        <v>56</v>
      </c>
      <c r="BA9" s="38" t="s">
        <v>56</v>
      </c>
      <c r="BB9" s="38" t="s">
        <v>100</v>
      </c>
      <c r="BC9" s="38" t="s">
        <v>56</v>
      </c>
      <c r="BD9" s="38" t="s">
        <v>100</v>
      </c>
      <c r="BE9" s="38" t="s">
        <v>100</v>
      </c>
      <c r="BF9" s="36" t="s">
        <v>56</v>
      </c>
      <c r="BG9" s="38" t="s">
        <v>100</v>
      </c>
      <c r="BH9" s="38" t="s">
        <v>100</v>
      </c>
      <c r="BI9" s="36" t="s">
        <v>56</v>
      </c>
      <c r="BJ9" s="36" t="s">
        <v>56</v>
      </c>
      <c r="BK9" s="36" t="s">
        <v>56</v>
      </c>
      <c r="BL9" s="38" t="s">
        <v>100</v>
      </c>
      <c r="BN9" s="36" t="s">
        <v>140</v>
      </c>
      <c r="BO9" s="36" t="s">
        <v>146</v>
      </c>
      <c r="BP9" s="36" t="s">
        <v>147</v>
      </c>
      <c r="BQ9" s="36" t="s">
        <v>138</v>
      </c>
      <c r="BR9" s="36" t="s">
        <v>29</v>
      </c>
      <c r="BS9" s="36" t="s">
        <v>139</v>
      </c>
      <c r="BT9" s="38" t="s">
        <v>100</v>
      </c>
      <c r="BU9" s="38" t="s">
        <v>100</v>
      </c>
      <c r="BV9" s="38" t="s">
        <v>100</v>
      </c>
      <c r="DE9" s="35"/>
      <c r="DF9" s="35"/>
    </row>
    <row r="10" spans="1:163" s="39" customFormat="1" ht="409" customHeight="1" x14ac:dyDescent="0.55000000000000004">
      <c r="A10" s="35"/>
      <c r="B10" s="41" t="s">
        <v>23</v>
      </c>
      <c r="C10"/>
      <c r="D10" s="36" t="s">
        <v>100</v>
      </c>
      <c r="E10" s="36" t="s">
        <v>100</v>
      </c>
      <c r="F10" s="37" t="s">
        <v>56</v>
      </c>
      <c r="G10" s="36" t="s">
        <v>100</v>
      </c>
      <c r="H10" s="36" t="s">
        <v>100</v>
      </c>
      <c r="I10" s="36" t="s">
        <v>100</v>
      </c>
      <c r="J10" s="37" t="s">
        <v>263</v>
      </c>
      <c r="L10" s="36" t="s">
        <v>285</v>
      </c>
      <c r="M10" s="38" t="s">
        <v>125</v>
      </c>
      <c r="N10" s="36" t="s">
        <v>350</v>
      </c>
      <c r="O10" s="36" t="s">
        <v>362</v>
      </c>
      <c r="P10" s="44"/>
      <c r="Q10" s="36" t="s">
        <v>100</v>
      </c>
      <c r="R10" s="38" t="s">
        <v>125</v>
      </c>
      <c r="S10" s="36" t="s">
        <v>100</v>
      </c>
      <c r="T10" s="36" t="s">
        <v>363</v>
      </c>
      <c r="U10" s="44"/>
      <c r="V10" s="36" t="s">
        <v>100</v>
      </c>
      <c r="W10" s="38" t="s">
        <v>126</v>
      </c>
      <c r="X10" s="36" t="s">
        <v>100</v>
      </c>
      <c r="Y10" s="36" t="s">
        <v>362</v>
      </c>
      <c r="Z10" s="44"/>
      <c r="AA10" s="38" t="s">
        <v>100</v>
      </c>
      <c r="AB10" s="38" t="s">
        <v>100</v>
      </c>
      <c r="AC10" s="38" t="s">
        <v>100</v>
      </c>
      <c r="AD10" s="38" t="s">
        <v>100</v>
      </c>
      <c r="AE10" s="44"/>
      <c r="AF10" s="38" t="s">
        <v>56</v>
      </c>
      <c r="AG10" s="38" t="s">
        <v>273</v>
      </c>
      <c r="AH10" s="36" t="s">
        <v>350</v>
      </c>
      <c r="AI10" s="38" t="s">
        <v>345</v>
      </c>
      <c r="AJ10" s="44"/>
      <c r="AK10" s="40" t="s">
        <v>56</v>
      </c>
      <c r="AL10" s="38" t="s">
        <v>100</v>
      </c>
      <c r="AM10" s="38" t="s">
        <v>100</v>
      </c>
      <c r="AN10" s="40" t="s">
        <v>263</v>
      </c>
      <c r="AO10" s="38" t="s">
        <v>349</v>
      </c>
      <c r="AQ10" s="36" t="s">
        <v>378</v>
      </c>
      <c r="AR10" s="38" t="s">
        <v>100</v>
      </c>
      <c r="AS10" s="38" t="s">
        <v>100</v>
      </c>
      <c r="AU10" s="36" t="s">
        <v>123</v>
      </c>
      <c r="AV10" s="38" t="s">
        <v>129</v>
      </c>
      <c r="AW10" s="38" t="s">
        <v>141</v>
      </c>
      <c r="AX10" s="38" t="s">
        <v>291</v>
      </c>
      <c r="AY10" s="38" t="s">
        <v>292</v>
      </c>
      <c r="AZ10" s="38" t="s">
        <v>56</v>
      </c>
      <c r="BA10" s="38" t="s">
        <v>56</v>
      </c>
      <c r="BB10" s="38" t="s">
        <v>100</v>
      </c>
      <c r="BC10" s="38" t="s">
        <v>56</v>
      </c>
      <c r="BD10" s="38" t="s">
        <v>116</v>
      </c>
      <c r="BE10" s="38" t="s">
        <v>111</v>
      </c>
      <c r="BF10" s="36" t="s">
        <v>56</v>
      </c>
      <c r="BG10" s="38" t="s">
        <v>100</v>
      </c>
      <c r="BH10" s="38" t="s">
        <v>100</v>
      </c>
      <c r="BI10" s="36" t="s">
        <v>56</v>
      </c>
      <c r="BJ10" s="36" t="s">
        <v>56</v>
      </c>
      <c r="BK10" s="38" t="s">
        <v>100</v>
      </c>
      <c r="BL10" s="38" t="s">
        <v>100</v>
      </c>
      <c r="BN10" s="36" t="s">
        <v>142</v>
      </c>
      <c r="BO10" s="36" t="s">
        <v>113</v>
      </c>
      <c r="BP10" s="36" t="s">
        <v>112</v>
      </c>
      <c r="BQ10" s="36" t="s">
        <v>136</v>
      </c>
      <c r="BR10" s="36" t="s">
        <v>122</v>
      </c>
      <c r="BS10" s="36" t="s">
        <v>127</v>
      </c>
      <c r="BT10" s="38" t="s">
        <v>56</v>
      </c>
      <c r="BU10" s="38" t="s">
        <v>56</v>
      </c>
      <c r="BV10" s="38" t="s">
        <v>56</v>
      </c>
    </row>
    <row r="11" spans="1:163" s="39" customFormat="1" ht="240" x14ac:dyDescent="0.55000000000000004">
      <c r="A11" s="35"/>
      <c r="B11" s="41" t="s">
        <v>381</v>
      </c>
      <c r="C11"/>
      <c r="D11" s="36" t="s">
        <v>56</v>
      </c>
      <c r="E11" s="36" t="s">
        <v>100</v>
      </c>
      <c r="F11" s="36" t="s">
        <v>100</v>
      </c>
      <c r="G11" s="36" t="s">
        <v>56</v>
      </c>
      <c r="H11" s="36" t="s">
        <v>56</v>
      </c>
      <c r="I11" s="36" t="s">
        <v>100</v>
      </c>
      <c r="J11" s="36" t="s">
        <v>100</v>
      </c>
      <c r="L11" s="36" t="s">
        <v>100</v>
      </c>
      <c r="M11" s="38" t="s">
        <v>100</v>
      </c>
      <c r="N11" s="36" t="s">
        <v>379</v>
      </c>
      <c r="O11" s="38" t="s">
        <v>100</v>
      </c>
      <c r="P11" s="44"/>
      <c r="Q11" s="38" t="s">
        <v>100</v>
      </c>
      <c r="R11" s="38" t="s">
        <v>100</v>
      </c>
      <c r="S11" s="38" t="s">
        <v>100</v>
      </c>
      <c r="T11" s="38" t="s">
        <v>100</v>
      </c>
      <c r="U11" s="44"/>
      <c r="V11" s="38" t="s">
        <v>100</v>
      </c>
      <c r="W11" s="38" t="s">
        <v>100</v>
      </c>
      <c r="X11" s="38" t="s">
        <v>100</v>
      </c>
      <c r="Y11" s="38" t="s">
        <v>100</v>
      </c>
      <c r="Z11" s="44"/>
      <c r="AA11" s="38" t="s">
        <v>100</v>
      </c>
      <c r="AB11" s="38" t="s">
        <v>100</v>
      </c>
      <c r="AC11" s="38" t="s">
        <v>100</v>
      </c>
      <c r="AD11" s="38" t="s">
        <v>100</v>
      </c>
      <c r="AE11" s="44"/>
      <c r="AF11" s="38" t="s">
        <v>100</v>
      </c>
      <c r="AG11" s="38" t="s">
        <v>100</v>
      </c>
      <c r="AH11" s="38" t="s">
        <v>100</v>
      </c>
      <c r="AI11" s="38" t="s">
        <v>100</v>
      </c>
      <c r="AJ11" s="44"/>
      <c r="AK11" s="38" t="s">
        <v>100</v>
      </c>
      <c r="AL11" s="38" t="s">
        <v>100</v>
      </c>
      <c r="AM11" s="38" t="s">
        <v>100</v>
      </c>
      <c r="AN11" s="38" t="s">
        <v>100</v>
      </c>
      <c r="AO11" s="38" t="s">
        <v>100</v>
      </c>
      <c r="AQ11" s="38" t="s">
        <v>100</v>
      </c>
      <c r="AR11" s="38" t="s">
        <v>56</v>
      </c>
      <c r="AS11" s="38" t="s">
        <v>100</v>
      </c>
      <c r="AU11" s="36" t="s">
        <v>383</v>
      </c>
      <c r="AV11" s="38" t="s">
        <v>380</v>
      </c>
      <c r="AW11" s="38" t="s">
        <v>382</v>
      </c>
      <c r="AX11" s="38" t="s">
        <v>100</v>
      </c>
      <c r="AY11" s="226"/>
      <c r="AZ11" s="227" t="s">
        <v>56</v>
      </c>
      <c r="BA11" s="227" t="s">
        <v>56</v>
      </c>
      <c r="BB11" s="38" t="s">
        <v>100</v>
      </c>
      <c r="BC11" s="227" t="s">
        <v>56</v>
      </c>
      <c r="BD11" s="38" t="s">
        <v>100</v>
      </c>
      <c r="BE11" s="38" t="s">
        <v>100</v>
      </c>
      <c r="BF11" s="36" t="s">
        <v>56</v>
      </c>
      <c r="BG11" s="38" t="s">
        <v>100</v>
      </c>
      <c r="BH11" s="38" t="s">
        <v>100</v>
      </c>
      <c r="BI11" s="36" t="s">
        <v>56</v>
      </c>
      <c r="BJ11" s="38" t="s">
        <v>100</v>
      </c>
      <c r="BK11" s="38" t="s">
        <v>100</v>
      </c>
      <c r="BL11" s="38" t="s">
        <v>100</v>
      </c>
      <c r="BN11" s="225"/>
      <c r="BO11" s="225"/>
      <c r="BP11" s="225"/>
      <c r="BQ11" s="225"/>
      <c r="BR11" s="225"/>
      <c r="BS11" s="225"/>
      <c r="BT11" s="38" t="s">
        <v>100</v>
      </c>
      <c r="BU11" s="38" t="s">
        <v>100</v>
      </c>
      <c r="BV11" s="38" t="s">
        <v>100</v>
      </c>
    </row>
    <row r="12" spans="1:163" ht="35" customHeight="1" x14ac:dyDescent="0.55000000000000004">
      <c r="AY12" s="46"/>
    </row>
    <row r="13" spans="1:163" s="39" customFormat="1" ht="192" x14ac:dyDescent="0.55000000000000004">
      <c r="B13" s="41" t="s">
        <v>256</v>
      </c>
      <c r="C13"/>
      <c r="D13" s="36" t="s">
        <v>100</v>
      </c>
      <c r="E13" s="36" t="s">
        <v>100</v>
      </c>
      <c r="F13" s="36" t="s">
        <v>100</v>
      </c>
      <c r="G13" s="36" t="s">
        <v>100</v>
      </c>
      <c r="H13" s="36" t="s">
        <v>56</v>
      </c>
      <c r="I13" s="36" t="s">
        <v>100</v>
      </c>
      <c r="J13" s="36" t="s">
        <v>100</v>
      </c>
      <c r="L13" s="36" t="s">
        <v>100</v>
      </c>
      <c r="M13" s="36" t="s">
        <v>100</v>
      </c>
      <c r="N13" s="36" t="s">
        <v>303</v>
      </c>
      <c r="O13" s="36" t="s">
        <v>346</v>
      </c>
      <c r="P13" s="44"/>
      <c r="Q13" s="38" t="s">
        <v>100</v>
      </c>
      <c r="R13" s="36" t="s">
        <v>100</v>
      </c>
      <c r="S13" s="36" t="s">
        <v>100</v>
      </c>
      <c r="T13" s="36" t="s">
        <v>100</v>
      </c>
      <c r="U13" s="44"/>
      <c r="V13" s="38" t="s">
        <v>100</v>
      </c>
      <c r="W13" s="38" t="s">
        <v>100</v>
      </c>
      <c r="X13" s="38" t="s">
        <v>100</v>
      </c>
      <c r="Y13" s="38" t="s">
        <v>100</v>
      </c>
      <c r="Z13" s="44"/>
      <c r="AA13" s="38" t="s">
        <v>100</v>
      </c>
      <c r="AB13" s="38" t="s">
        <v>100</v>
      </c>
      <c r="AC13" s="38" t="s">
        <v>56</v>
      </c>
      <c r="AD13" s="36" t="s">
        <v>280</v>
      </c>
      <c r="AE13" s="44"/>
      <c r="AF13" s="38" t="s">
        <v>100</v>
      </c>
      <c r="AG13" s="38" t="s">
        <v>100</v>
      </c>
      <c r="AH13" s="36" t="s">
        <v>281</v>
      </c>
      <c r="AI13" s="36" t="s">
        <v>346</v>
      </c>
      <c r="AJ13" s="44"/>
      <c r="AK13" s="38" t="s">
        <v>56</v>
      </c>
      <c r="AL13" s="38" t="s">
        <v>100</v>
      </c>
      <c r="AM13" s="38" t="s">
        <v>100</v>
      </c>
      <c r="AN13" s="38" t="s">
        <v>100</v>
      </c>
      <c r="AO13" s="38" t="s">
        <v>100</v>
      </c>
      <c r="AQ13" s="38" t="s">
        <v>100</v>
      </c>
      <c r="AR13" s="38" t="s">
        <v>100</v>
      </c>
      <c r="AS13" s="38" t="s">
        <v>100</v>
      </c>
      <c r="AU13" s="36" t="s">
        <v>182</v>
      </c>
      <c r="AV13" s="38" t="s">
        <v>180</v>
      </c>
      <c r="AW13" s="38" t="s">
        <v>359</v>
      </c>
      <c r="AX13" s="38" t="s">
        <v>100</v>
      </c>
      <c r="AY13" s="38"/>
      <c r="AZ13" s="38" t="s">
        <v>56</v>
      </c>
      <c r="BA13" s="38" t="s">
        <v>56</v>
      </c>
      <c r="BB13" s="38" t="s">
        <v>100</v>
      </c>
      <c r="BC13" s="38" t="s">
        <v>56</v>
      </c>
      <c r="BD13" s="38"/>
      <c r="BE13" s="38" t="s">
        <v>100</v>
      </c>
      <c r="BF13" s="36" t="s">
        <v>56</v>
      </c>
      <c r="BG13" s="38" t="s">
        <v>100</v>
      </c>
      <c r="BH13" s="38" t="s">
        <v>100</v>
      </c>
      <c r="BI13" s="38" t="s">
        <v>100</v>
      </c>
      <c r="BJ13" s="38" t="s">
        <v>100</v>
      </c>
      <c r="BK13" s="38" t="s">
        <v>100</v>
      </c>
      <c r="BL13" s="38" t="s">
        <v>100</v>
      </c>
      <c r="BN13" s="36"/>
      <c r="BO13" s="36" t="s">
        <v>113</v>
      </c>
      <c r="BP13" s="36"/>
      <c r="BQ13" s="36"/>
      <c r="BR13" s="36"/>
      <c r="BS13" s="36"/>
      <c r="BT13" s="38" t="s">
        <v>56</v>
      </c>
      <c r="BU13" s="38" t="s">
        <v>100</v>
      </c>
      <c r="BV13" s="38" t="s">
        <v>100</v>
      </c>
    </row>
    <row r="14" spans="1:163" s="39" customFormat="1" ht="288" x14ac:dyDescent="0.55000000000000004">
      <c r="B14" s="41" t="s">
        <v>40</v>
      </c>
      <c r="C14"/>
      <c r="D14" s="36" t="s">
        <v>100</v>
      </c>
      <c r="E14" s="36" t="s">
        <v>100</v>
      </c>
      <c r="F14" s="36" t="s">
        <v>100</v>
      </c>
      <c r="G14" s="36" t="s">
        <v>100</v>
      </c>
      <c r="H14" s="36" t="s">
        <v>56</v>
      </c>
      <c r="I14" s="36" t="s">
        <v>100</v>
      </c>
      <c r="J14" s="36" t="s">
        <v>100</v>
      </c>
      <c r="L14" s="36" t="s">
        <v>100</v>
      </c>
      <c r="M14" s="36" t="s">
        <v>100</v>
      </c>
      <c r="N14" s="36" t="s">
        <v>342</v>
      </c>
      <c r="O14" s="36" t="s">
        <v>346</v>
      </c>
      <c r="P14" s="44"/>
      <c r="Q14" s="38" t="s">
        <v>100</v>
      </c>
      <c r="R14" s="36" t="s">
        <v>100</v>
      </c>
      <c r="S14" s="36" t="s">
        <v>100</v>
      </c>
      <c r="T14" s="36" t="s">
        <v>100</v>
      </c>
      <c r="U14" s="44"/>
      <c r="V14" s="38" t="s">
        <v>100</v>
      </c>
      <c r="W14" s="38" t="s">
        <v>100</v>
      </c>
      <c r="X14" s="38" t="s">
        <v>100</v>
      </c>
      <c r="Y14" s="38" t="s">
        <v>100</v>
      </c>
      <c r="Z14" s="44"/>
      <c r="AA14" s="38" t="s">
        <v>100</v>
      </c>
      <c r="AB14" s="38" t="s">
        <v>100</v>
      </c>
      <c r="AC14" s="38" t="s">
        <v>100</v>
      </c>
      <c r="AD14" s="38" t="s">
        <v>100</v>
      </c>
      <c r="AE14" s="44"/>
      <c r="AF14" s="38" t="s">
        <v>100</v>
      </c>
      <c r="AG14" s="38" t="s">
        <v>100</v>
      </c>
      <c r="AH14" s="36" t="s">
        <v>336</v>
      </c>
      <c r="AI14" s="36" t="s">
        <v>346</v>
      </c>
      <c r="AJ14" s="44"/>
      <c r="AK14" s="38" t="s">
        <v>56</v>
      </c>
      <c r="AL14" s="38" t="s">
        <v>100</v>
      </c>
      <c r="AM14" s="38" t="s">
        <v>100</v>
      </c>
      <c r="AN14" s="38" t="s">
        <v>100</v>
      </c>
      <c r="AO14" s="38" t="s">
        <v>100</v>
      </c>
      <c r="AQ14" s="38" t="s">
        <v>100</v>
      </c>
      <c r="AR14" s="38" t="s">
        <v>100</v>
      </c>
      <c r="AS14" s="38" t="s">
        <v>100</v>
      </c>
      <c r="AU14" s="38"/>
      <c r="AV14" s="38" t="s">
        <v>180</v>
      </c>
      <c r="AW14" s="38" t="s">
        <v>182</v>
      </c>
      <c r="AX14" s="38" t="s">
        <v>100</v>
      </c>
      <c r="AY14" s="38"/>
      <c r="AZ14" s="38" t="s">
        <v>56</v>
      </c>
      <c r="BA14" s="38" t="s">
        <v>56</v>
      </c>
      <c r="BB14" s="38" t="s">
        <v>100</v>
      </c>
      <c r="BC14" s="38" t="s">
        <v>56</v>
      </c>
      <c r="BD14" s="38"/>
      <c r="BE14" s="38" t="s">
        <v>100</v>
      </c>
      <c r="BF14" s="36" t="s">
        <v>56</v>
      </c>
      <c r="BG14" s="38" t="s">
        <v>100</v>
      </c>
      <c r="BH14" s="38" t="s">
        <v>100</v>
      </c>
      <c r="BI14" s="38" t="s">
        <v>100</v>
      </c>
      <c r="BJ14" s="38" t="s">
        <v>100</v>
      </c>
      <c r="BK14" s="38" t="s">
        <v>100</v>
      </c>
      <c r="BL14" s="38" t="s">
        <v>100</v>
      </c>
      <c r="BN14" s="36"/>
      <c r="BO14" s="36" t="s">
        <v>113</v>
      </c>
      <c r="BP14" s="36"/>
      <c r="BQ14" s="36"/>
      <c r="BR14" s="36"/>
      <c r="BS14" s="36"/>
      <c r="BT14" s="38" t="s">
        <v>56</v>
      </c>
      <c r="BU14" s="38" t="s">
        <v>100</v>
      </c>
      <c r="BV14" s="38" t="s">
        <v>100</v>
      </c>
    </row>
    <row r="15" spans="1:163" s="39" customFormat="1" ht="381" customHeight="1" x14ac:dyDescent="0.55000000000000004">
      <c r="A15" s="35"/>
      <c r="B15" s="41" t="s">
        <v>44</v>
      </c>
      <c r="C15"/>
      <c r="D15" s="36" t="s">
        <v>56</v>
      </c>
      <c r="E15" s="36" t="s">
        <v>100</v>
      </c>
      <c r="F15" s="36" t="s">
        <v>100</v>
      </c>
      <c r="G15" s="36" t="s">
        <v>56</v>
      </c>
      <c r="H15" s="36" t="s">
        <v>56</v>
      </c>
      <c r="I15" s="36" t="s">
        <v>100</v>
      </c>
      <c r="J15" s="36" t="s">
        <v>100</v>
      </c>
      <c r="L15" s="36" t="s">
        <v>100</v>
      </c>
      <c r="M15" s="36" t="s">
        <v>197</v>
      </c>
      <c r="N15" s="36" t="s">
        <v>100</v>
      </c>
      <c r="O15" s="36" t="s">
        <v>346</v>
      </c>
      <c r="P15" s="44"/>
      <c r="Q15" s="38" t="s">
        <v>100</v>
      </c>
      <c r="R15" s="38" t="s">
        <v>125</v>
      </c>
      <c r="S15" s="36" t="s">
        <v>100</v>
      </c>
      <c r="T15" s="36" t="s">
        <v>275</v>
      </c>
      <c r="U15" s="44"/>
      <c r="V15" s="38" t="s">
        <v>100</v>
      </c>
      <c r="W15" s="38" t="s">
        <v>288</v>
      </c>
      <c r="X15" s="38" t="s">
        <v>100</v>
      </c>
      <c r="Y15" s="36" t="s">
        <v>335</v>
      </c>
      <c r="Z15" s="44"/>
      <c r="AA15" s="38" t="s">
        <v>100</v>
      </c>
      <c r="AB15" s="38" t="s">
        <v>100</v>
      </c>
      <c r="AC15" s="38" t="s">
        <v>100</v>
      </c>
      <c r="AD15" s="38" t="s">
        <v>100</v>
      </c>
      <c r="AE15" s="44"/>
      <c r="AF15" s="38" t="s">
        <v>100</v>
      </c>
      <c r="AG15" s="38" t="s">
        <v>100</v>
      </c>
      <c r="AH15" s="36" t="s">
        <v>236</v>
      </c>
      <c r="AI15" s="36" t="s">
        <v>346</v>
      </c>
      <c r="AJ15" s="44"/>
      <c r="AK15" s="38" t="s">
        <v>56</v>
      </c>
      <c r="AL15" s="38" t="s">
        <v>100</v>
      </c>
      <c r="AM15" s="42" t="s">
        <v>100</v>
      </c>
      <c r="AN15" s="42" t="s">
        <v>100</v>
      </c>
      <c r="AO15" s="38" t="s">
        <v>100</v>
      </c>
      <c r="AQ15" s="38" t="s">
        <v>100</v>
      </c>
      <c r="AR15" s="38" t="s">
        <v>56</v>
      </c>
      <c r="AS15" s="38" t="s">
        <v>100</v>
      </c>
      <c r="AU15" s="36" t="s">
        <v>218</v>
      </c>
      <c r="AV15" s="38" t="s">
        <v>220</v>
      </c>
      <c r="AW15" s="38" t="s">
        <v>354</v>
      </c>
      <c r="AX15" s="38" t="s">
        <v>100</v>
      </c>
      <c r="AY15" s="38" t="s">
        <v>298</v>
      </c>
      <c r="AZ15" s="38" t="s">
        <v>56</v>
      </c>
      <c r="BA15" s="38" t="s">
        <v>56</v>
      </c>
      <c r="BB15" s="38" t="s">
        <v>56</v>
      </c>
      <c r="BC15" s="38" t="s">
        <v>56</v>
      </c>
      <c r="BD15" s="38" t="s">
        <v>202</v>
      </c>
      <c r="BE15" s="38" t="s">
        <v>100</v>
      </c>
      <c r="BF15" s="36" t="s">
        <v>56</v>
      </c>
      <c r="BG15" s="38" t="s">
        <v>100</v>
      </c>
      <c r="BH15" s="38" t="s">
        <v>100</v>
      </c>
      <c r="BI15" s="36" t="s">
        <v>56</v>
      </c>
      <c r="BJ15" s="36" t="s">
        <v>56</v>
      </c>
      <c r="BK15" s="38" t="s">
        <v>100</v>
      </c>
      <c r="BL15" s="38" t="s">
        <v>100</v>
      </c>
      <c r="BN15" s="36" t="s">
        <v>205</v>
      </c>
      <c r="BO15" s="36" t="s">
        <v>113</v>
      </c>
      <c r="BP15" s="36" t="s">
        <v>225</v>
      </c>
      <c r="BQ15" s="36" t="s">
        <v>231</v>
      </c>
      <c r="BR15" s="36" t="s">
        <v>171</v>
      </c>
      <c r="BS15" s="36" t="s">
        <v>233</v>
      </c>
      <c r="BT15" s="38" t="s">
        <v>100</v>
      </c>
      <c r="BU15" s="38" t="s">
        <v>100</v>
      </c>
      <c r="BV15" s="38" t="s">
        <v>100</v>
      </c>
    </row>
    <row r="16" spans="1:163" s="39" customFormat="1" ht="336" x14ac:dyDescent="0.55000000000000004">
      <c r="A16" s="35"/>
      <c r="B16" s="41" t="s">
        <v>206</v>
      </c>
      <c r="C16"/>
      <c r="D16" s="36" t="s">
        <v>56</v>
      </c>
      <c r="E16" s="36" t="s">
        <v>100</v>
      </c>
      <c r="F16" s="36" t="s">
        <v>100</v>
      </c>
      <c r="G16" s="36" t="s">
        <v>56</v>
      </c>
      <c r="H16" s="36" t="s">
        <v>56</v>
      </c>
      <c r="I16" s="36" t="s">
        <v>100</v>
      </c>
      <c r="J16" s="36" t="s">
        <v>100</v>
      </c>
      <c r="L16" s="36" t="s">
        <v>100</v>
      </c>
      <c r="M16" s="36" t="s">
        <v>235</v>
      </c>
      <c r="N16" s="36" t="s">
        <v>100</v>
      </c>
      <c r="O16" s="36" t="s">
        <v>346</v>
      </c>
      <c r="P16" s="44"/>
      <c r="Q16" s="38" t="s">
        <v>100</v>
      </c>
      <c r="R16" s="38" t="s">
        <v>125</v>
      </c>
      <c r="S16" s="36" t="s">
        <v>100</v>
      </c>
      <c r="T16" s="36" t="s">
        <v>275</v>
      </c>
      <c r="U16" s="44"/>
      <c r="V16" s="38" t="s">
        <v>100</v>
      </c>
      <c r="W16" s="38" t="s">
        <v>288</v>
      </c>
      <c r="X16" s="38" t="s">
        <v>100</v>
      </c>
      <c r="Y16" s="36" t="s">
        <v>335</v>
      </c>
      <c r="Z16" s="44"/>
      <c r="AA16" s="38" t="s">
        <v>100</v>
      </c>
      <c r="AB16" s="38" t="s">
        <v>100</v>
      </c>
      <c r="AC16" s="38" t="s">
        <v>100</v>
      </c>
      <c r="AD16" s="38" t="s">
        <v>100</v>
      </c>
      <c r="AE16" s="44"/>
      <c r="AF16" s="38" t="s">
        <v>100</v>
      </c>
      <c r="AG16" s="38" t="s">
        <v>125</v>
      </c>
      <c r="AH16" s="36" t="s">
        <v>236</v>
      </c>
      <c r="AI16" s="36" t="s">
        <v>346</v>
      </c>
      <c r="AJ16" s="44"/>
      <c r="AK16" s="38" t="s">
        <v>56</v>
      </c>
      <c r="AL16" s="42" t="s">
        <v>100</v>
      </c>
      <c r="AM16" s="42" t="s">
        <v>100</v>
      </c>
      <c r="AN16" s="42" t="s">
        <v>100</v>
      </c>
      <c r="AO16" s="38" t="s">
        <v>339</v>
      </c>
      <c r="AQ16" s="38" t="s">
        <v>100</v>
      </c>
      <c r="AR16" s="38" t="s">
        <v>56</v>
      </c>
      <c r="AS16" s="38" t="s">
        <v>100</v>
      </c>
      <c r="AU16" s="36" t="s">
        <v>100</v>
      </c>
      <c r="AV16" s="38" t="s">
        <v>220</v>
      </c>
      <c r="AW16" s="38" t="s">
        <v>100</v>
      </c>
      <c r="AX16" s="38" t="s">
        <v>100</v>
      </c>
      <c r="AY16" s="38"/>
      <c r="AZ16" s="38" t="s">
        <v>56</v>
      </c>
      <c r="BA16" s="38" t="s">
        <v>56</v>
      </c>
      <c r="BB16" s="38" t="s">
        <v>56</v>
      </c>
      <c r="BC16" s="38" t="s">
        <v>56</v>
      </c>
      <c r="BD16" s="38" t="s">
        <v>56</v>
      </c>
      <c r="BE16" s="38" t="s">
        <v>56</v>
      </c>
      <c r="BF16" s="36" t="s">
        <v>56</v>
      </c>
      <c r="BG16" s="36" t="s">
        <v>56</v>
      </c>
      <c r="BH16" s="36" t="s">
        <v>56</v>
      </c>
      <c r="BI16" s="36" t="s">
        <v>56</v>
      </c>
      <c r="BJ16" s="36" t="s">
        <v>56</v>
      </c>
      <c r="BK16" s="38" t="s">
        <v>100</v>
      </c>
      <c r="BL16" s="38" t="s">
        <v>100</v>
      </c>
      <c r="BN16" s="36" t="s">
        <v>238</v>
      </c>
      <c r="BO16" s="36" t="s">
        <v>113</v>
      </c>
      <c r="BP16" s="36" t="s">
        <v>241</v>
      </c>
      <c r="BQ16" s="36" t="s">
        <v>242</v>
      </c>
      <c r="BR16" s="36"/>
      <c r="BS16" s="36" t="s">
        <v>233</v>
      </c>
      <c r="BT16" s="38" t="s">
        <v>100</v>
      </c>
      <c r="BU16" s="38" t="s">
        <v>100</v>
      </c>
      <c r="BV16" s="38" t="s">
        <v>100</v>
      </c>
      <c r="FB16" s="35"/>
      <c r="FC16" s="35"/>
      <c r="FD16" s="35"/>
      <c r="FE16" s="35"/>
      <c r="FF16" s="35"/>
      <c r="FG16" s="35"/>
    </row>
    <row r="17" spans="1:81" ht="36" customHeight="1" x14ac:dyDescent="0.55000000000000004">
      <c r="AY17" s="46"/>
    </row>
    <row r="18" spans="1:81" s="39" customFormat="1" ht="192" x14ac:dyDescent="0.55000000000000004">
      <c r="B18" s="41" t="s">
        <v>257</v>
      </c>
      <c r="C18"/>
      <c r="D18" s="36" t="s">
        <v>100</v>
      </c>
      <c r="E18" s="36" t="s">
        <v>100</v>
      </c>
      <c r="F18" s="36" t="s">
        <v>100</v>
      </c>
      <c r="G18" s="36" t="s">
        <v>100</v>
      </c>
      <c r="H18" s="36" t="s">
        <v>100</v>
      </c>
      <c r="I18" s="36" t="s">
        <v>56</v>
      </c>
      <c r="J18" s="36" t="s">
        <v>56</v>
      </c>
      <c r="L18" s="36" t="s">
        <v>100</v>
      </c>
      <c r="M18" s="36" t="s">
        <v>100</v>
      </c>
      <c r="N18" s="36" t="s">
        <v>282</v>
      </c>
      <c r="O18" s="36" t="s">
        <v>334</v>
      </c>
      <c r="P18" s="44"/>
      <c r="Q18" s="38" t="s">
        <v>100</v>
      </c>
      <c r="R18" s="38" t="s">
        <v>100</v>
      </c>
      <c r="S18" s="36" t="s">
        <v>100</v>
      </c>
      <c r="T18" s="38" t="s">
        <v>100</v>
      </c>
      <c r="U18" s="44"/>
      <c r="V18" s="38" t="s">
        <v>100</v>
      </c>
      <c r="W18" s="38" t="s">
        <v>100</v>
      </c>
      <c r="X18" s="38" t="s">
        <v>100</v>
      </c>
      <c r="Y18" s="38" t="s">
        <v>100</v>
      </c>
      <c r="Z18" s="44"/>
      <c r="AA18" s="38" t="s">
        <v>100</v>
      </c>
      <c r="AB18" s="38" t="s">
        <v>100</v>
      </c>
      <c r="AC18" s="38" t="s">
        <v>272</v>
      </c>
      <c r="AD18" s="36" t="s">
        <v>294</v>
      </c>
      <c r="AE18" s="44"/>
      <c r="AF18" s="38" t="s">
        <v>100</v>
      </c>
      <c r="AG18" s="38" t="s">
        <v>100</v>
      </c>
      <c r="AH18" s="38" t="s">
        <v>100</v>
      </c>
      <c r="AI18" s="38" t="s">
        <v>100</v>
      </c>
      <c r="AJ18" s="44"/>
      <c r="AK18" s="38" t="s">
        <v>295</v>
      </c>
      <c r="AL18" s="42" t="s">
        <v>100</v>
      </c>
      <c r="AM18" s="38" t="s">
        <v>296</v>
      </c>
      <c r="AN18" s="38" t="s">
        <v>297</v>
      </c>
      <c r="AO18" s="38" t="s">
        <v>100</v>
      </c>
      <c r="AQ18" s="38" t="s">
        <v>100</v>
      </c>
      <c r="AR18" s="38" t="s">
        <v>100</v>
      </c>
      <c r="AS18" s="38" t="s">
        <v>100</v>
      </c>
      <c r="AU18" s="36" t="s">
        <v>182</v>
      </c>
      <c r="AV18" s="38" t="s">
        <v>180</v>
      </c>
      <c r="AW18" s="38" t="s">
        <v>355</v>
      </c>
      <c r="AX18" s="38" t="s">
        <v>265</v>
      </c>
      <c r="AY18" s="38"/>
      <c r="AZ18" s="38" t="s">
        <v>56</v>
      </c>
      <c r="BA18" s="38" t="s">
        <v>56</v>
      </c>
      <c r="BB18" s="38" t="s">
        <v>100</v>
      </c>
      <c r="BC18" s="38" t="s">
        <v>56</v>
      </c>
      <c r="BD18" s="38"/>
      <c r="BE18" s="38" t="s">
        <v>100</v>
      </c>
      <c r="BF18" s="38"/>
      <c r="BG18" s="38"/>
      <c r="BH18" s="38"/>
      <c r="BI18" s="38" t="s">
        <v>100</v>
      </c>
      <c r="BJ18" s="38" t="s">
        <v>100</v>
      </c>
      <c r="BK18" s="38" t="s">
        <v>100</v>
      </c>
      <c r="BL18" s="38" t="s">
        <v>301</v>
      </c>
      <c r="BN18" s="36"/>
      <c r="BO18" s="36" t="s">
        <v>113</v>
      </c>
      <c r="BP18" s="36"/>
      <c r="BQ18" s="36"/>
      <c r="BR18" s="36"/>
      <c r="BS18" s="36"/>
      <c r="BT18" s="38" t="s">
        <v>56</v>
      </c>
      <c r="BU18" s="38" t="s">
        <v>100</v>
      </c>
      <c r="BV18" s="38" t="s">
        <v>100</v>
      </c>
    </row>
    <row r="19" spans="1:81" s="39" customFormat="1" ht="409.6" x14ac:dyDescent="0.55000000000000004">
      <c r="B19" s="41" t="s">
        <v>214</v>
      </c>
      <c r="C19"/>
      <c r="D19" s="36" t="s">
        <v>100</v>
      </c>
      <c r="E19" s="36" t="s">
        <v>100</v>
      </c>
      <c r="F19" s="36" t="s">
        <v>100</v>
      </c>
      <c r="G19" s="36" t="s">
        <v>100</v>
      </c>
      <c r="H19" s="36" t="s">
        <v>100</v>
      </c>
      <c r="I19" s="36" t="s">
        <v>56</v>
      </c>
      <c r="J19" s="36" t="s">
        <v>56</v>
      </c>
      <c r="L19" s="36" t="s">
        <v>100</v>
      </c>
      <c r="M19" s="36" t="s">
        <v>316</v>
      </c>
      <c r="N19" s="36" t="s">
        <v>100</v>
      </c>
      <c r="O19" s="36" t="s">
        <v>347</v>
      </c>
      <c r="P19" s="44"/>
      <c r="Q19" s="38" t="s">
        <v>100</v>
      </c>
      <c r="R19" s="38" t="s">
        <v>276</v>
      </c>
      <c r="S19" s="36" t="s">
        <v>100</v>
      </c>
      <c r="T19" s="36" t="s">
        <v>348</v>
      </c>
      <c r="U19" s="44"/>
      <c r="V19" s="38" t="s">
        <v>100</v>
      </c>
      <c r="W19" s="38" t="s">
        <v>274</v>
      </c>
      <c r="X19" s="38" t="s">
        <v>100</v>
      </c>
      <c r="Y19" s="36" t="s">
        <v>348</v>
      </c>
      <c r="Z19" s="44"/>
      <c r="AA19" s="38" t="s">
        <v>100</v>
      </c>
      <c r="AB19" s="38" t="s">
        <v>100</v>
      </c>
      <c r="AC19" s="38" t="s">
        <v>100</v>
      </c>
      <c r="AD19" s="38" t="s">
        <v>100</v>
      </c>
      <c r="AE19" s="44"/>
      <c r="AF19" s="38" t="s">
        <v>100</v>
      </c>
      <c r="AG19" s="38" t="s">
        <v>100</v>
      </c>
      <c r="AH19" s="36" t="s">
        <v>236</v>
      </c>
      <c r="AI19" s="36" t="s">
        <v>348</v>
      </c>
      <c r="AJ19" s="44"/>
      <c r="AK19" s="38" t="s">
        <v>261</v>
      </c>
      <c r="AL19" s="42" t="s">
        <v>100</v>
      </c>
      <c r="AM19" s="38" t="s">
        <v>56</v>
      </c>
      <c r="AN19" s="42" t="s">
        <v>100</v>
      </c>
      <c r="AO19" s="38" t="s">
        <v>100</v>
      </c>
      <c r="AQ19" s="38" t="s">
        <v>100</v>
      </c>
      <c r="AR19" s="38" t="s">
        <v>100</v>
      </c>
      <c r="AS19" s="36" t="s">
        <v>267</v>
      </c>
      <c r="AU19" s="36"/>
      <c r="AV19" s="38" t="s">
        <v>266</v>
      </c>
      <c r="AW19" s="36"/>
      <c r="AX19" s="38" t="s">
        <v>100</v>
      </c>
      <c r="AY19" s="38"/>
      <c r="AZ19" s="38" t="s">
        <v>56</v>
      </c>
      <c r="BA19" s="38" t="s">
        <v>56</v>
      </c>
      <c r="BB19" s="38" t="s">
        <v>56</v>
      </c>
      <c r="BC19" s="38" t="s">
        <v>56</v>
      </c>
      <c r="BD19" s="38" t="s">
        <v>202</v>
      </c>
      <c r="BE19" s="38" t="s">
        <v>100</v>
      </c>
      <c r="BF19" s="36" t="s">
        <v>56</v>
      </c>
      <c r="BG19" s="36" t="s">
        <v>56</v>
      </c>
      <c r="BH19" s="36" t="s">
        <v>56</v>
      </c>
      <c r="BI19" s="36" t="s">
        <v>56</v>
      </c>
      <c r="BJ19" s="36" t="s">
        <v>56</v>
      </c>
      <c r="BK19" s="38" t="s">
        <v>100</v>
      </c>
      <c r="BL19" s="38" t="s">
        <v>301</v>
      </c>
      <c r="BN19" s="36" t="s">
        <v>205</v>
      </c>
      <c r="BO19" s="36" t="s">
        <v>113</v>
      </c>
      <c r="BP19" s="36" t="s">
        <v>225</v>
      </c>
      <c r="BQ19" s="36" t="s">
        <v>231</v>
      </c>
      <c r="BR19" s="36"/>
      <c r="BS19" s="36" t="s">
        <v>326</v>
      </c>
      <c r="BT19" s="38" t="s">
        <v>100</v>
      </c>
      <c r="BU19" s="38" t="s">
        <v>100</v>
      </c>
      <c r="BV19" s="38" t="s">
        <v>100</v>
      </c>
    </row>
    <row r="20" spans="1:81" s="39" customFormat="1" ht="409.6" x14ac:dyDescent="0.55000000000000004">
      <c r="B20" s="41" t="s">
        <v>187</v>
      </c>
      <c r="C20"/>
      <c r="D20" s="36" t="s">
        <v>56</v>
      </c>
      <c r="E20" s="36" t="s">
        <v>100</v>
      </c>
      <c r="F20" s="36" t="s">
        <v>100</v>
      </c>
      <c r="G20" s="36" t="s">
        <v>56</v>
      </c>
      <c r="H20" s="36" t="s">
        <v>56</v>
      </c>
      <c r="I20" s="36" t="s">
        <v>56</v>
      </c>
      <c r="J20" s="36" t="s">
        <v>56</v>
      </c>
      <c r="L20" s="36" t="s">
        <v>100</v>
      </c>
      <c r="M20" s="36" t="s">
        <v>204</v>
      </c>
      <c r="N20" s="36" t="s">
        <v>100</v>
      </c>
      <c r="O20" s="36" t="s">
        <v>333</v>
      </c>
      <c r="P20" s="44"/>
      <c r="Q20" s="38" t="s">
        <v>100</v>
      </c>
      <c r="R20" s="38" t="s">
        <v>125</v>
      </c>
      <c r="S20" s="36" t="s">
        <v>100</v>
      </c>
      <c r="T20" s="36" t="s">
        <v>260</v>
      </c>
      <c r="U20" s="44"/>
      <c r="V20" s="38" t="s">
        <v>100</v>
      </c>
      <c r="W20" s="38" t="s">
        <v>100</v>
      </c>
      <c r="X20" s="38" t="s">
        <v>100</v>
      </c>
      <c r="Y20" s="38" t="s">
        <v>100</v>
      </c>
      <c r="Z20" s="44"/>
      <c r="AA20" s="38" t="s">
        <v>100</v>
      </c>
      <c r="AB20" s="38" t="s">
        <v>100</v>
      </c>
      <c r="AC20" s="38" t="s">
        <v>100</v>
      </c>
      <c r="AD20" s="38" t="s">
        <v>100</v>
      </c>
      <c r="AE20" s="44"/>
      <c r="AF20" s="36" t="s">
        <v>100</v>
      </c>
      <c r="AG20" s="36" t="s">
        <v>204</v>
      </c>
      <c r="AH20" s="36" t="s">
        <v>100</v>
      </c>
      <c r="AI20" s="36" t="s">
        <v>260</v>
      </c>
      <c r="AJ20" s="44"/>
      <c r="AK20" s="38" t="s">
        <v>100</v>
      </c>
      <c r="AL20" s="42" t="s">
        <v>100</v>
      </c>
      <c r="AM20" s="38" t="s">
        <v>259</v>
      </c>
      <c r="AN20" s="38" t="s">
        <v>100</v>
      </c>
      <c r="AO20" s="38" t="s">
        <v>100</v>
      </c>
      <c r="AQ20" s="38" t="s">
        <v>100</v>
      </c>
      <c r="AR20" s="38" t="s">
        <v>100</v>
      </c>
      <c r="AS20" s="38" t="s">
        <v>100</v>
      </c>
      <c r="AU20" s="36" t="s">
        <v>198</v>
      </c>
      <c r="AV20" s="38" t="s">
        <v>189</v>
      </c>
      <c r="AW20" s="36"/>
      <c r="AX20" s="38" t="s">
        <v>100</v>
      </c>
      <c r="AY20" s="38" t="s">
        <v>293</v>
      </c>
      <c r="AZ20" s="38" t="s">
        <v>56</v>
      </c>
      <c r="BA20" s="38" t="s">
        <v>56</v>
      </c>
      <c r="BB20" s="38" t="s">
        <v>100</v>
      </c>
      <c r="BC20" s="38" t="s">
        <v>56</v>
      </c>
      <c r="BD20" s="38" t="s">
        <v>100</v>
      </c>
      <c r="BE20" s="38" t="s">
        <v>100</v>
      </c>
      <c r="BF20" s="38"/>
      <c r="BG20" s="38"/>
      <c r="BH20" s="38"/>
      <c r="BI20" s="38" t="s">
        <v>100</v>
      </c>
      <c r="BJ20" s="38" t="s">
        <v>100</v>
      </c>
      <c r="BK20" s="38" t="s">
        <v>100</v>
      </c>
      <c r="BL20" s="38" t="s">
        <v>100</v>
      </c>
      <c r="BN20" s="36" t="s">
        <v>200</v>
      </c>
      <c r="BO20" s="36" t="s">
        <v>113</v>
      </c>
      <c r="BP20" s="36" t="s">
        <v>209</v>
      </c>
      <c r="BQ20" s="36" t="s">
        <v>201</v>
      </c>
      <c r="BR20" s="36" t="s">
        <v>169</v>
      </c>
      <c r="BS20" s="36"/>
      <c r="BT20" s="38" t="s">
        <v>100</v>
      </c>
      <c r="BU20" s="38" t="s">
        <v>100</v>
      </c>
      <c r="BV20" s="38" t="s">
        <v>100</v>
      </c>
    </row>
    <row r="21" spans="1:81" s="39" customFormat="1" ht="409.6" x14ac:dyDescent="0.55000000000000004">
      <c r="B21" s="41" t="s">
        <v>38</v>
      </c>
      <c r="C21"/>
      <c r="D21" s="36" t="s">
        <v>100</v>
      </c>
      <c r="E21" s="36" t="s">
        <v>100</v>
      </c>
      <c r="F21" s="36" t="s">
        <v>100</v>
      </c>
      <c r="G21" s="36" t="s">
        <v>100</v>
      </c>
      <c r="H21" s="36" t="s">
        <v>100</v>
      </c>
      <c r="I21" s="36" t="s">
        <v>100</v>
      </c>
      <c r="J21" s="36" t="s">
        <v>56</v>
      </c>
      <c r="L21" s="36" t="s">
        <v>100</v>
      </c>
      <c r="M21" s="36" t="s">
        <v>318</v>
      </c>
      <c r="N21" s="36" t="s">
        <v>100</v>
      </c>
      <c r="O21" s="36" t="s">
        <v>317</v>
      </c>
      <c r="P21" s="44"/>
      <c r="Q21" s="38" t="s">
        <v>100</v>
      </c>
      <c r="R21" s="36" t="s">
        <v>318</v>
      </c>
      <c r="S21" s="38" t="s">
        <v>100</v>
      </c>
      <c r="T21" s="36" t="s">
        <v>317</v>
      </c>
      <c r="U21" s="44"/>
      <c r="V21" s="38" t="s">
        <v>100</v>
      </c>
      <c r="W21" s="38" t="s">
        <v>100</v>
      </c>
      <c r="X21" s="38" t="s">
        <v>100</v>
      </c>
      <c r="Y21" s="38" t="s">
        <v>100</v>
      </c>
      <c r="Z21" s="44"/>
      <c r="AA21" s="38" t="s">
        <v>100</v>
      </c>
      <c r="AB21" s="38" t="s">
        <v>100</v>
      </c>
      <c r="AC21" s="38" t="s">
        <v>100</v>
      </c>
      <c r="AD21" s="38" t="s">
        <v>100</v>
      </c>
      <c r="AE21" s="44"/>
      <c r="AF21" s="38" t="s">
        <v>100</v>
      </c>
      <c r="AG21" s="36" t="s">
        <v>318</v>
      </c>
      <c r="AH21" s="38" t="s">
        <v>100</v>
      </c>
      <c r="AI21" s="36" t="s">
        <v>317</v>
      </c>
      <c r="AJ21" s="44"/>
      <c r="AK21" s="38" t="s">
        <v>100</v>
      </c>
      <c r="AL21" s="38" t="s">
        <v>100</v>
      </c>
      <c r="AM21" s="38" t="s">
        <v>100</v>
      </c>
      <c r="AN21" s="38" t="s">
        <v>56</v>
      </c>
      <c r="AO21" s="38" t="s">
        <v>100</v>
      </c>
      <c r="AQ21" s="38" t="s">
        <v>100</v>
      </c>
      <c r="AR21" s="38" t="s">
        <v>100</v>
      </c>
      <c r="AS21" s="38" t="s">
        <v>100</v>
      </c>
      <c r="AU21" s="38" t="s">
        <v>100</v>
      </c>
      <c r="AV21" s="38" t="s">
        <v>320</v>
      </c>
      <c r="AW21" s="38" t="s">
        <v>100</v>
      </c>
      <c r="AX21" s="38" t="s">
        <v>322</v>
      </c>
      <c r="AY21" s="38" t="s">
        <v>321</v>
      </c>
      <c r="AZ21" s="38" t="s">
        <v>56</v>
      </c>
      <c r="BA21" s="38" t="s">
        <v>56</v>
      </c>
      <c r="BB21" s="38" t="s">
        <v>100</v>
      </c>
      <c r="BC21" s="38" t="s">
        <v>56</v>
      </c>
      <c r="BD21" s="38" t="s">
        <v>100</v>
      </c>
      <c r="BE21" s="38" t="s">
        <v>100</v>
      </c>
      <c r="BF21" s="36" t="s">
        <v>56</v>
      </c>
      <c r="BG21" s="38" t="s">
        <v>100</v>
      </c>
      <c r="BH21" s="38" t="s">
        <v>100</v>
      </c>
      <c r="BI21" s="38" t="s">
        <v>100</v>
      </c>
      <c r="BJ21" s="38" t="s">
        <v>100</v>
      </c>
      <c r="BK21" s="38" t="s">
        <v>100</v>
      </c>
      <c r="BL21" s="38" t="s">
        <v>301</v>
      </c>
      <c r="BN21" s="36" t="s">
        <v>323</v>
      </c>
      <c r="BO21" s="36" t="s">
        <v>113</v>
      </c>
      <c r="BP21" s="36" t="s">
        <v>324</v>
      </c>
      <c r="BQ21" s="36" t="s">
        <v>325</v>
      </c>
      <c r="BR21" s="36" t="s">
        <v>170</v>
      </c>
      <c r="BS21" s="36" t="s">
        <v>326</v>
      </c>
      <c r="BT21" s="38" t="s">
        <v>100</v>
      </c>
      <c r="BU21" s="38" t="s">
        <v>100</v>
      </c>
      <c r="BV21" s="38" t="s">
        <v>100</v>
      </c>
    </row>
    <row r="23" spans="1:81" s="39" customFormat="1" x14ac:dyDescent="0.55000000000000004">
      <c r="A23" s="35"/>
      <c r="C23"/>
    </row>
    <row r="27" spans="1:81" s="39" customFormat="1" x14ac:dyDescent="0.55000000000000004">
      <c r="A27" s="35"/>
      <c r="C27"/>
    </row>
    <row r="28" spans="1:81" s="39" customFormat="1" x14ac:dyDescent="0.55000000000000004">
      <c r="A28" s="35"/>
      <c r="C28"/>
    </row>
    <row r="30" spans="1:81" s="39" customFormat="1" x14ac:dyDescent="0.55000000000000004">
      <c r="A30" s="35"/>
      <c r="B30" s="35"/>
      <c r="C30"/>
      <c r="D30" s="35"/>
      <c r="E30" s="35"/>
      <c r="F30" s="35"/>
      <c r="G30" s="35"/>
      <c r="H30" s="35"/>
      <c r="I30" s="35"/>
      <c r="J30" s="35"/>
      <c r="K30" s="35"/>
      <c r="L30" s="35"/>
      <c r="M30" s="35"/>
      <c r="N30" s="35"/>
      <c r="O30" s="35"/>
      <c r="P30" s="35"/>
      <c r="Q30" s="35"/>
      <c r="AI30" s="35"/>
      <c r="AJ30" s="35"/>
      <c r="AK30" s="35"/>
      <c r="AL30" s="35"/>
      <c r="AM30" s="35"/>
      <c r="CC30" s="35"/>
    </row>
    <row r="31" spans="1:81" s="39" customFormat="1" x14ac:dyDescent="0.55000000000000004">
      <c r="A31" s="35"/>
      <c r="B31" s="35"/>
      <c r="C31"/>
      <c r="D31" s="35"/>
      <c r="E31" s="35"/>
      <c r="F31" s="35"/>
      <c r="G31" s="35"/>
      <c r="H31" s="35"/>
      <c r="I31" s="35"/>
      <c r="J31" s="35"/>
      <c r="K31" s="35"/>
      <c r="L31" s="35"/>
      <c r="M31" s="35"/>
      <c r="CC31" s="35"/>
    </row>
    <row r="32" spans="1:81" s="39" customFormat="1" x14ac:dyDescent="0.55000000000000004">
      <c r="A32" s="35"/>
      <c r="B32" s="35"/>
      <c r="C32"/>
      <c r="D32" s="35"/>
      <c r="E32" s="35"/>
      <c r="F32" s="35"/>
      <c r="G32" s="35"/>
      <c r="H32" s="35"/>
      <c r="I32" s="35"/>
      <c r="J32" s="35"/>
      <c r="K32" s="35"/>
      <c r="L32" s="35"/>
      <c r="M32" s="35"/>
      <c r="CC32" s="35"/>
    </row>
  </sheetData>
  <mergeCells count="65">
    <mergeCell ref="D3:D5"/>
    <mergeCell ref="D2:J2"/>
    <mergeCell ref="AZ3:BL3"/>
    <mergeCell ref="L2:AI2"/>
    <mergeCell ref="BQ3:BQ5"/>
    <mergeCell ref="BP3:BP5"/>
    <mergeCell ref="BO3:BO5"/>
    <mergeCell ref="BN3:BN5"/>
    <mergeCell ref="AY3:AY5"/>
    <mergeCell ref="V3:Y3"/>
    <mergeCell ref="AA3:AD3"/>
    <mergeCell ref="AF3:AI3"/>
    <mergeCell ref="L3:O3"/>
    <mergeCell ref="BK4:BK5"/>
    <mergeCell ref="AN4:AN5"/>
    <mergeCell ref="AO3:AO5"/>
    <mergeCell ref="AQ3:AQ5"/>
    <mergeCell ref="AR3:AR5"/>
    <mergeCell ref="AS3:AS5"/>
    <mergeCell ref="BA4:BA5"/>
    <mergeCell ref="AZ4:AZ5"/>
    <mergeCell ref="AW3:AW5"/>
    <mergeCell ref="AV3:AV5"/>
    <mergeCell ref="AX3:AX5"/>
    <mergeCell ref="O4:O5"/>
    <mergeCell ref="BB4:BB5"/>
    <mergeCell ref="BC4:BC5"/>
    <mergeCell ref="B2:B5"/>
    <mergeCell ref="AK4:AK5"/>
    <mergeCell ref="AM4:AM5"/>
    <mergeCell ref="E3:E5"/>
    <mergeCell ref="G3:G5"/>
    <mergeCell ref="F3:F5"/>
    <mergeCell ref="H3:H5"/>
    <mergeCell ref="I3:I5"/>
    <mergeCell ref="J3:J5"/>
    <mergeCell ref="AF4:AH4"/>
    <mergeCell ref="AI4:AI5"/>
    <mergeCell ref="V4:X4"/>
    <mergeCell ref="Y4:Y5"/>
    <mergeCell ref="AA4:AC4"/>
    <mergeCell ref="AD4:AD5"/>
    <mergeCell ref="L4:N4"/>
    <mergeCell ref="Q4:S4"/>
    <mergeCell ref="T4:T5"/>
    <mergeCell ref="BU4:BU5"/>
    <mergeCell ref="BV4:BV5"/>
    <mergeCell ref="BT3:BV3"/>
    <mergeCell ref="BR3:BR5"/>
    <mergeCell ref="BS3:BS5"/>
    <mergeCell ref="BE4:BE5"/>
    <mergeCell ref="BI4:BI5"/>
    <mergeCell ref="BJ4:BJ5"/>
    <mergeCell ref="Q3:T3"/>
    <mergeCell ref="BL4:BL5"/>
    <mergeCell ref="AQ2:AS2"/>
    <mergeCell ref="AK3:AN3"/>
    <mergeCell ref="AK2:AO2"/>
    <mergeCell ref="BT4:BT5"/>
    <mergeCell ref="AU3:AU5"/>
    <mergeCell ref="BN2:BV2"/>
    <mergeCell ref="AU2:BL2"/>
    <mergeCell ref="AL4:AL5"/>
    <mergeCell ref="BF4:BH4"/>
    <mergeCell ref="BD4:BD5"/>
  </mergeCells>
  <conditionalFormatting sqref="AA7:AD11 V13:X13 BN13:BV16 Y15:Y16 D18:J21 AK18:AO21 BN18:BV21 AK7:AO11 D7:J11 BN7:BV11">
    <cfRule type="endsWith" dxfId="108" priority="318" operator="endsWith" text="no">
      <formula>RIGHT(D7,LEN("no"))="no"</formula>
    </cfRule>
  </conditionalFormatting>
  <conditionalFormatting sqref="D13:J16 V14:X14">
    <cfRule type="endsWith" dxfId="107" priority="102" operator="endsWith" text="no">
      <formula>RIGHT(D13,LEN("no"))="no"</formula>
    </cfRule>
  </conditionalFormatting>
  <conditionalFormatting sqref="D13:J16 V14:Y15">
    <cfRule type="expression" dxfId="106" priority="101">
      <formula>TRIM(LOWER(D13))&lt;&gt;"no"</formula>
    </cfRule>
  </conditionalFormatting>
  <conditionalFormatting sqref="L21 AU7:AU10 AU11:AY11">
    <cfRule type="expression" dxfId="105" priority="92">
      <formula>TRIM(LOWER(L7))&lt;&gt;"no"</formula>
    </cfRule>
    <cfRule type="endsWith" dxfId="104" priority="93" operator="endsWith" text="no">
      <formula>RIGHT(L7,LEN("no"))="no"</formula>
    </cfRule>
  </conditionalFormatting>
  <conditionalFormatting sqref="L7:O7">
    <cfRule type="expression" dxfId="103" priority="59">
      <formula>TRIM(LOWER(L7))&lt;&gt;"no"</formula>
    </cfRule>
    <cfRule type="endsWith" dxfId="102" priority="60" operator="endsWith" text="no">
      <formula>RIGHT(L7,LEN("no"))="no"</formula>
    </cfRule>
  </conditionalFormatting>
  <conditionalFormatting sqref="AQ15:AS16 L18:O21 Q18:T21 V18:Y21 AA18:AD21 AF18:AI21 AQ18:AS21 AU18:BL21 L7:O11">
    <cfRule type="endsWith" dxfId="101" priority="240" operator="endsWith" text="no">
      <formula>RIGHT(L7,LEN("no"))="no"</formula>
    </cfRule>
  </conditionalFormatting>
  <conditionalFormatting sqref="L13:O16">
    <cfRule type="containsBlanks" dxfId="100" priority="51">
      <formula>LEN(TRIM(L13))=0</formula>
    </cfRule>
    <cfRule type="expression" dxfId="99" priority="52">
      <formula>TRIM(LOWER(L13))&lt;&gt;"no"</formula>
    </cfRule>
    <cfRule type="endsWith" dxfId="98" priority="53" operator="endsWith" text="no">
      <formula>RIGHT(L13,LEN("no"))="no"</formula>
    </cfRule>
  </conditionalFormatting>
  <conditionalFormatting sqref="N10:N11">
    <cfRule type="expression" dxfId="97" priority="21">
      <formula>TRIM(LOWER(N10))&lt;&gt;"no"</formula>
    </cfRule>
    <cfRule type="endsWith" dxfId="96" priority="22" operator="endsWith" text="no">
      <formula>RIGHT(N10,LEN("no"))="no"</formula>
    </cfRule>
  </conditionalFormatting>
  <conditionalFormatting sqref="O7">
    <cfRule type="expression" dxfId="95" priority="57">
      <formula>TRIM(LOWER(O7))&lt;&gt;"no"</formula>
    </cfRule>
    <cfRule type="endsWith" dxfId="94" priority="58" operator="endsWith" text="no">
      <formula>RIGHT(O7,LEN("no"))="no"</formula>
    </cfRule>
  </conditionalFormatting>
  <conditionalFormatting sqref="AU18:BL21 AU13:BL13 AU15:BL16 D13:J16 Q13:T16 V13:Y16 AK13:AO16 AQ13:AS16 BN13:BV16 D18:J21 L18:O21 Q18:T21 V18:Y21 AA18:AD21 AF18:AI21 AK18:AO21 AQ18:AS21 BN18:BV21 Q7:T11 V7:Y11 AA7:AD11 AF7:AI11 AQ7:AS11 AK7:AO11 D7:J11 L7:O11 BB11 AU7:BL10 BD11:BL11 AU11:AY11 BN7:BV11">
    <cfRule type="containsBlanks" dxfId="93" priority="69">
      <formula>LEN(TRIM(D7))=0</formula>
    </cfRule>
  </conditionalFormatting>
  <conditionalFormatting sqref="Q7:T11">
    <cfRule type="expression" dxfId="92" priority="177">
      <formula>TRIM(LOWER(Q7))&lt;&gt;"no"</formula>
    </cfRule>
    <cfRule type="endsWith" dxfId="91" priority="178" operator="endsWith" text="no">
      <formula>RIGHT(Q7,LEN("no"))="no"</formula>
    </cfRule>
  </conditionalFormatting>
  <conditionalFormatting sqref="Q18:T21 AQ15:AS16 L18:O21 AU18:BL21 V18:Y21 AA18:AD21 AF18:AI21 AQ18:AS21 L7:O11">
    <cfRule type="expression" dxfId="90" priority="239">
      <formula>TRIM(LOWER(L7))&lt;&gt;"no"</formula>
    </cfRule>
  </conditionalFormatting>
  <conditionalFormatting sqref="R18">
    <cfRule type="expression" dxfId="89" priority="221">
      <formula>TRIM(LOWER(R18))&lt;&gt;"no"</formula>
    </cfRule>
    <cfRule type="endsWith" dxfId="88" priority="222" operator="endsWith" text="no">
      <formula>RIGHT(R18,LEN("no"))="no"</formula>
    </cfRule>
  </conditionalFormatting>
  <conditionalFormatting sqref="T7">
    <cfRule type="expression" dxfId="87" priority="63">
      <formula>TRIM(LOWER(T7))&lt;&gt;"no"</formula>
    </cfRule>
    <cfRule type="endsWith" dxfId="86" priority="64" operator="endsWith" text="no">
      <formula>RIGHT(T7,LEN("no"))="no"</formula>
    </cfRule>
  </conditionalFormatting>
  <conditionalFormatting sqref="T9">
    <cfRule type="expression" dxfId="85" priority="25">
      <formula>TRIM(LOWER(T9))&lt;&gt;"no"</formula>
    </cfRule>
    <cfRule type="endsWith" dxfId="84" priority="26" operator="endsWith" text="no">
      <formula>RIGHT(T9,LEN("no"))="no"</formula>
    </cfRule>
    <cfRule type="expression" dxfId="83" priority="67">
      <formula>TRIM(LOWER(T9))&lt;&gt;"no"</formula>
    </cfRule>
    <cfRule type="endsWith" dxfId="82" priority="68" operator="endsWith" text="no">
      <formula>RIGHT(T9,LEN("no"))="no"</formula>
    </cfRule>
  </conditionalFormatting>
  <conditionalFormatting sqref="V16:X16">
    <cfRule type="expression" dxfId="81" priority="153">
      <formula>TRIM(LOWER(V16))&lt;&gt;"no"</formula>
    </cfRule>
    <cfRule type="endsWith" dxfId="80" priority="154" operator="endsWith" text="no">
      <formula>RIGHT(V16,LEN("no"))="no"</formula>
    </cfRule>
  </conditionalFormatting>
  <conditionalFormatting sqref="V7:Y11">
    <cfRule type="expression" dxfId="79" priority="179">
      <formula>TRIM(LOWER(V7))&lt;&gt;"no"</formula>
    </cfRule>
    <cfRule type="endsWith" dxfId="78" priority="180" operator="endsWith" text="no">
      <formula>RIGHT(V7,LEN("no"))="no"</formula>
    </cfRule>
  </conditionalFormatting>
  <conditionalFormatting sqref="V15:Y15">
    <cfRule type="endsWith" dxfId="77" priority="192" operator="endsWith" text="no">
      <formula>RIGHT(V15,LEN("no"))="no"</formula>
    </cfRule>
  </conditionalFormatting>
  <conditionalFormatting sqref="Y13:Y14">
    <cfRule type="endsWith" dxfId="76" priority="146" operator="endsWith" text="no">
      <formula>RIGHT(Y13,LEN("no"))="no"</formula>
    </cfRule>
  </conditionalFormatting>
  <conditionalFormatting sqref="Y15:Y16 V13:Y13 AA7:AD11 BN13:BV16 D18:J21 AK18:AO21 BN18:BV21 AK7:AO11 D7:J11 BN7:BV11">
    <cfRule type="expression" dxfId="75" priority="317">
      <formula>TRIM(LOWER(D7))&lt;&gt;"no"</formula>
    </cfRule>
  </conditionalFormatting>
  <conditionalFormatting sqref="AA13:AD16">
    <cfRule type="containsBlanks" dxfId="74" priority="35">
      <formula>LEN(TRIM(AA13))=0</formula>
    </cfRule>
    <cfRule type="expression" dxfId="73" priority="36">
      <formula>TRIM(LOWER(AA13))&lt;&gt;"no"</formula>
    </cfRule>
    <cfRule type="endsWith" dxfId="72" priority="37" operator="endsWith" text="no">
      <formula>RIGHT(AA13,LEN("no"))="no"</formula>
    </cfRule>
  </conditionalFormatting>
  <conditionalFormatting sqref="AF7:AI11">
    <cfRule type="expression" dxfId="71" priority="117">
      <formula>TRIM(LOWER(AF7))&lt;&gt;"no"</formula>
    </cfRule>
    <cfRule type="endsWith" dxfId="70" priority="118" operator="endsWith" text="no">
      <formula>RIGHT(AF7,LEN("no"))="no"</formula>
    </cfRule>
  </conditionalFormatting>
  <conditionalFormatting sqref="AF13:AI16">
    <cfRule type="containsBlanks" dxfId="69" priority="32">
      <formula>LEN(TRIM(AF13))=0</formula>
    </cfRule>
    <cfRule type="expression" dxfId="68" priority="33">
      <formula>TRIM(LOWER(AF13))&lt;&gt;"no"</formula>
    </cfRule>
    <cfRule type="endsWith" dxfId="67" priority="34" operator="endsWith" text="no">
      <formula>RIGHT(AF13,LEN("no"))="no"</formula>
    </cfRule>
  </conditionalFormatting>
  <conditionalFormatting sqref="AH7">
    <cfRule type="expression" dxfId="66" priority="61">
      <formula>TRIM(LOWER(AH7))&lt;&gt;"no"</formula>
    </cfRule>
    <cfRule type="endsWith" dxfId="65" priority="62" operator="endsWith" text="no">
      <formula>RIGHT(AH7,LEN("no"))="no"</formula>
    </cfRule>
  </conditionalFormatting>
  <conditionalFormatting sqref="AI9">
    <cfRule type="expression" dxfId="64" priority="23">
      <formula>TRIM(LOWER(AI9))&lt;&gt;"no"</formula>
    </cfRule>
    <cfRule type="endsWith" dxfId="63" priority="24" operator="endsWith" text="no">
      <formula>RIGHT(AI9,LEN("no"))="no"</formula>
    </cfRule>
    <cfRule type="expression" dxfId="62" priority="65">
      <formula>TRIM(LOWER(AI9))&lt;&gt;"no"</formula>
    </cfRule>
    <cfRule type="endsWith" dxfId="61" priority="66" operator="endsWith" text="no">
      <formula>RIGHT(AI9,LEN("no"))="no"</formula>
    </cfRule>
  </conditionalFormatting>
  <conditionalFormatting sqref="AK13:AO16">
    <cfRule type="expression" dxfId="60" priority="90">
      <formula>TRIM(LOWER(AK13))&lt;&gt;"no"</formula>
    </cfRule>
    <cfRule type="endsWith" dxfId="59" priority="91" operator="endsWith" text="no">
      <formula>RIGHT(AK13,LEN("no"))="no"</formula>
    </cfRule>
  </conditionalFormatting>
  <conditionalFormatting sqref="AQ10:AQ11">
    <cfRule type="expression" dxfId="58" priority="19">
      <formula>TRIM(LOWER(AQ10))&lt;&gt;"no"</formula>
    </cfRule>
    <cfRule type="endsWith" dxfId="57" priority="20" operator="endsWith" text="no">
      <formula>RIGHT(AQ10,LEN("no"))="no"</formula>
    </cfRule>
  </conditionalFormatting>
  <conditionalFormatting sqref="AQ7:AS11">
    <cfRule type="expression" dxfId="56" priority="119">
      <formula>TRIM(LOWER(AQ7))&lt;&gt;"no"</formula>
    </cfRule>
    <cfRule type="endsWith" dxfId="55" priority="120" operator="endsWith" text="no">
      <formula>RIGHT(AQ7,LEN("no"))="no"</formula>
    </cfRule>
  </conditionalFormatting>
  <conditionalFormatting sqref="AQ13:AS14 Q13:T16 AU14:BE14 BI14:BL14">
    <cfRule type="endsWith" dxfId="54" priority="100" operator="endsWith" text="no">
      <formula>RIGHT(Q13,LEN("no"))="no"</formula>
    </cfRule>
  </conditionalFormatting>
  <conditionalFormatting sqref="AR7">
    <cfRule type="expression" dxfId="53" priority="105">
      <formula>TRIM(LOWER(AR7))&lt;&gt;"no"</formula>
    </cfRule>
    <cfRule type="endsWith" dxfId="52" priority="106" operator="endsWith" text="no">
      <formula>RIGHT(AR7,LEN("no"))="no"</formula>
    </cfRule>
  </conditionalFormatting>
  <conditionalFormatting sqref="AR15">
    <cfRule type="expression" dxfId="51" priority="103">
      <formula>TRIM(LOWER(AR15))&lt;&gt;"no"</formula>
    </cfRule>
    <cfRule type="endsWith" dxfId="50" priority="104" operator="endsWith" text="no">
      <formula>RIGHT(AR15,LEN("no"))="no"</formula>
    </cfRule>
  </conditionalFormatting>
  <conditionalFormatting sqref="AU14">
    <cfRule type="expression" dxfId="49" priority="95">
      <formula>TRIM(LOWER(AU14))&lt;&gt;"no"</formula>
    </cfRule>
    <cfRule type="endsWith" dxfId="48" priority="96" operator="endsWith" text="no">
      <formula>RIGHT(AU14,LEN("no"))="no"</formula>
    </cfRule>
  </conditionalFormatting>
  <conditionalFormatting sqref="AU21">
    <cfRule type="expression" dxfId="47" priority="73">
      <formula>TRIM(LOWER(AU21))&lt;&gt;"no"</formula>
    </cfRule>
    <cfRule type="endsWith" dxfId="46" priority="74" operator="endsWith" text="no">
      <formula>RIGHT(AU21,LEN("no"))="no"</formula>
    </cfRule>
  </conditionalFormatting>
  <conditionalFormatting sqref="AU14:BE14 AQ13:AS14 Q13:T16 BI14:BL14">
    <cfRule type="expression" dxfId="45" priority="99">
      <formula>TRIM(LOWER(Q13))&lt;&gt;"no"</formula>
    </cfRule>
  </conditionalFormatting>
  <conditionalFormatting sqref="AU13:BL13 AU15:BL16">
    <cfRule type="expression" dxfId="44" priority="97">
      <formula>TRIM(LOWER(AU13))&lt;&gt;"no"</formula>
    </cfRule>
    <cfRule type="endsWith" dxfId="43" priority="98" operator="endsWith" text="no">
      <formula>RIGHT(AU13,LEN("no"))="no"</formula>
    </cfRule>
  </conditionalFormatting>
  <conditionalFormatting sqref="AU14:BL14">
    <cfRule type="containsBlanks" dxfId="42" priority="29">
      <formula>LEN(TRIM(AU14))=0</formula>
    </cfRule>
  </conditionalFormatting>
  <conditionalFormatting sqref="BB11 AV7:BL10 BD11:BL11">
    <cfRule type="expression" dxfId="41" priority="115">
      <formula>TRIM(LOWER(AV7))&lt;&gt;"no"</formula>
    </cfRule>
    <cfRule type="endsWith" dxfId="40" priority="116" operator="endsWith" text="no">
      <formula>RIGHT(AV7,LEN("no"))="no"</formula>
    </cfRule>
  </conditionalFormatting>
  <conditionalFormatting sqref="AW19:AW20">
    <cfRule type="expression" dxfId="39" priority="70">
      <formula>TRIM(LOWER(AW19))&lt;&gt;"no"</formula>
    </cfRule>
    <cfRule type="endsWith" dxfId="38" priority="71" operator="endsWith" text="no">
      <formula>RIGHT(AW19,LEN("no"))="no"</formula>
    </cfRule>
  </conditionalFormatting>
  <conditionalFormatting sqref="AY8:AY11">
    <cfRule type="expression" dxfId="37" priority="111">
      <formula>TRIM(LOWER(AY8))&lt;&gt;"no"</formula>
    </cfRule>
    <cfRule type="endsWith" dxfId="36" priority="112" operator="endsWith" text="no">
      <formula>RIGHT(AY8,LEN("no"))="no"</formula>
    </cfRule>
  </conditionalFormatting>
  <conditionalFormatting sqref="BF13:BH16">
    <cfRule type="expression" dxfId="35" priority="30">
      <formula>TRIM(LOWER(BF13))&lt;&gt;"no"</formula>
    </cfRule>
    <cfRule type="endsWith" dxfId="34" priority="31" operator="endsWith" text="no">
      <formula>RIGHT(BF13,LEN("no"))="no"</formula>
    </cfRule>
  </conditionalFormatting>
  <conditionalFormatting sqref="BF14:BH14">
    <cfRule type="expression" dxfId="33" priority="27">
      <formula>TRIM(LOWER(BF14))&lt;&gt;"no"</formula>
    </cfRule>
    <cfRule type="endsWith" dxfId="32" priority="28" operator="endsWith" text="no">
      <formula>RIGHT(BF14,LEN("no"))="no"</formula>
    </cfRule>
  </conditionalFormatting>
  <conditionalFormatting sqref="BF19:BH19">
    <cfRule type="expression" dxfId="31" priority="49">
      <formula>TRIM(LOWER(BF19))&lt;&gt;"no"</formula>
    </cfRule>
    <cfRule type="endsWith" dxfId="30" priority="50" operator="endsWith" text="no">
      <formula>RIGHT(BF19,LEN("no"))="no"</formula>
    </cfRule>
  </conditionalFormatting>
  <conditionalFormatting sqref="BF21:BH21">
    <cfRule type="expression" dxfId="29" priority="43">
      <formula>TRIM(LOWER(BF21))&lt;&gt;"no"</formula>
    </cfRule>
    <cfRule type="endsWith" dxfId="28" priority="44" operator="endsWith" text="no">
      <formula>RIGHT(BF21,LEN("no"))="no"</formula>
    </cfRule>
  </conditionalFormatting>
  <conditionalFormatting sqref="M11">
    <cfRule type="expression" dxfId="27" priority="17">
      <formula>TRIM(LOWER(M11))&lt;&gt;"no"</formula>
    </cfRule>
    <cfRule type="endsWith" dxfId="26" priority="18" operator="endsWith" text="no">
      <formula>RIGHT(M11,LEN("no"))="no"</formula>
    </cfRule>
  </conditionalFormatting>
  <conditionalFormatting sqref="O11">
    <cfRule type="expression" dxfId="25" priority="15">
      <formula>TRIM(LOWER(O11))&lt;&gt;"no"</formula>
    </cfRule>
    <cfRule type="endsWith" dxfId="24" priority="16" operator="endsWith" text="no">
      <formula>RIGHT(O11,LEN("no"))="no"</formula>
    </cfRule>
  </conditionalFormatting>
  <conditionalFormatting sqref="O11">
    <cfRule type="expression" dxfId="23" priority="13">
      <formula>TRIM(LOWER(O11))&lt;&gt;"no"</formula>
    </cfRule>
    <cfRule type="endsWith" dxfId="22" priority="14" operator="endsWith" text="no">
      <formula>RIGHT(O11,LEN("no"))="no"</formula>
    </cfRule>
  </conditionalFormatting>
  <conditionalFormatting sqref="T11">
    <cfRule type="expression" dxfId="21" priority="11">
      <formula>TRIM(LOWER(T11))&lt;&gt;"no"</formula>
    </cfRule>
    <cfRule type="endsWith" dxfId="20" priority="12" operator="endsWith" text="no">
      <formula>RIGHT(T11,LEN("no"))="no"</formula>
    </cfRule>
  </conditionalFormatting>
  <conditionalFormatting sqref="AA11:AD11">
    <cfRule type="expression" dxfId="19" priority="9">
      <formula>TRIM(LOWER(AA11))&lt;&gt;"no"</formula>
    </cfRule>
    <cfRule type="endsWith" dxfId="18" priority="10" operator="endsWith" text="no">
      <formula>RIGHT(AA11,LEN("no"))="no"</formula>
    </cfRule>
  </conditionalFormatting>
  <conditionalFormatting sqref="AF11:AI11">
    <cfRule type="expression" dxfId="17" priority="7">
      <formula>TRIM(LOWER(AF11))&lt;&gt;"no"</formula>
    </cfRule>
    <cfRule type="endsWith" dxfId="16" priority="8" operator="endsWith" text="no">
      <formula>RIGHT(AF11,LEN("no"))="no"</formula>
    </cfRule>
  </conditionalFormatting>
  <conditionalFormatting sqref="AR11">
    <cfRule type="expression" dxfId="15" priority="5">
      <formula>TRIM(LOWER(AR11))&lt;&gt;"no"</formula>
    </cfRule>
    <cfRule type="endsWith" dxfId="14" priority="6" operator="endsWith" text="no">
      <formula>RIGHT(AR11,LEN("no"))="no"</formula>
    </cfRule>
  </conditionalFormatting>
  <conditionalFormatting sqref="AQ11">
    <cfRule type="expression" dxfId="13" priority="3">
      <formula>TRIM(LOWER(AQ11))&lt;&gt;"no"</formula>
    </cfRule>
    <cfRule type="endsWith" dxfId="12" priority="4" operator="endsWith" text="no">
      <formula>RIGHT(AQ11,LEN("no"))="no"</formula>
    </cfRule>
  </conditionalFormatting>
  <conditionalFormatting sqref="M11">
    <cfRule type="expression" dxfId="11" priority="1">
      <formula>TRIM(LOWER(M11))&lt;&gt;"no"</formula>
    </cfRule>
    <cfRule type="endsWith" dxfId="10" priority="2" operator="endsWith" text="no">
      <formula>RIGHT(M11,LEN("no"))="no"</formula>
    </cfRule>
  </conditionalFormatting>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907C7-EF41-8E4E-9C7E-5482DFF3D9FB}">
  <sheetPr>
    <pageSetUpPr fitToPage="1"/>
  </sheetPr>
  <dimension ref="C6:BI49"/>
  <sheetViews>
    <sheetView zoomScale="15" zoomScaleNormal="16" zoomScalePageLayoutView="14" workbookViewId="0">
      <selection activeCell="C6" sqref="C6:AT9"/>
    </sheetView>
  </sheetViews>
  <sheetFormatPr baseColWidth="10" defaultRowHeight="15" x14ac:dyDescent="0.2"/>
  <cols>
    <col min="1" max="2" width="10.83203125" style="49"/>
    <col min="3" max="3" width="69.6640625" style="49" customWidth="1"/>
    <col min="4" max="4" width="5.83203125" style="49" customWidth="1"/>
    <col min="5" max="5" width="16.5" style="49" customWidth="1"/>
    <col min="6" max="6" width="17.1640625" style="49" customWidth="1"/>
    <col min="7" max="7" width="25.1640625" style="49" customWidth="1"/>
    <col min="8" max="8" width="29.6640625" style="49" customWidth="1"/>
    <col min="9" max="9" width="22.1640625" style="49" customWidth="1"/>
    <col min="10" max="10" width="19.5" style="49" customWidth="1"/>
    <col min="11" max="11" width="24.1640625" style="49" customWidth="1"/>
    <col min="12" max="12" width="5.83203125" style="49" customWidth="1"/>
    <col min="13" max="13" width="25.6640625" style="49" customWidth="1"/>
    <col min="14" max="14" width="36.1640625" style="49" customWidth="1"/>
    <col min="15" max="15" width="54" style="49" customWidth="1"/>
    <col min="16" max="16" width="41.1640625" style="49" customWidth="1"/>
    <col min="17" max="17" width="5.83203125" style="49" customWidth="1"/>
    <col min="18" max="18" width="20.5" style="49" customWidth="1"/>
    <col min="19" max="19" width="30.83203125" style="49" customWidth="1"/>
    <col min="20" max="20" width="19.5" style="49" customWidth="1"/>
    <col min="21" max="21" width="43.33203125" style="49" customWidth="1"/>
    <col min="22" max="22" width="5.83203125" style="49" customWidth="1"/>
    <col min="23" max="23" width="22.6640625" style="49" customWidth="1"/>
    <col min="24" max="24" width="34.83203125" style="49" bestFit="1" customWidth="1"/>
    <col min="25" max="25" width="19.5" style="49" customWidth="1"/>
    <col min="26" max="26" width="46.5" style="49" customWidth="1"/>
    <col min="27" max="27" width="5.83203125" style="49" customWidth="1"/>
    <col min="28" max="28" width="20.83203125" style="49" customWidth="1"/>
    <col min="29" max="29" width="28.5" style="49" customWidth="1"/>
    <col min="30" max="30" width="20.83203125" style="49" customWidth="1"/>
    <col min="31" max="31" width="41.1640625" style="49" customWidth="1"/>
    <col min="32" max="32" width="5.83203125" style="49" customWidth="1"/>
    <col min="33" max="33" width="23.33203125" style="49" customWidth="1"/>
    <col min="34" max="34" width="28" style="49" customWidth="1"/>
    <col min="35" max="35" width="42.1640625" style="49" customWidth="1"/>
    <col min="36" max="36" width="50" style="49" customWidth="1"/>
    <col min="37" max="37" width="5.83203125" customWidth="1"/>
    <col min="38" max="38" width="24" style="49" customWidth="1"/>
    <col min="39" max="39" width="27" style="49" customWidth="1"/>
    <col min="40" max="40" width="56" style="49" customWidth="1"/>
    <col min="41" max="41" width="26.1640625" style="49" bestFit="1" customWidth="1"/>
    <col min="42" max="42" width="33.33203125" style="49" customWidth="1"/>
    <col min="43" max="43" width="5.83203125" customWidth="1"/>
    <col min="44" max="44" width="45" style="49" customWidth="1"/>
    <col min="45" max="45" width="57.83203125" style="49" customWidth="1"/>
    <col min="46" max="46" width="35.1640625" style="49" customWidth="1"/>
    <col min="47" max="16384" width="10.83203125" style="49"/>
  </cols>
  <sheetData>
    <row r="6" spans="3:61" ht="47" x14ac:dyDescent="0.55000000000000004">
      <c r="C6" s="188" t="s">
        <v>16</v>
      </c>
      <c r="D6" s="54"/>
      <c r="E6" s="191" t="s">
        <v>3</v>
      </c>
      <c r="F6" s="192"/>
      <c r="G6" s="192"/>
      <c r="H6" s="192"/>
      <c r="I6" s="192"/>
      <c r="J6" s="192"/>
      <c r="K6" s="193"/>
      <c r="L6" s="48"/>
      <c r="M6" s="194" t="s">
        <v>250</v>
      </c>
      <c r="N6" s="195"/>
      <c r="O6" s="195"/>
      <c r="P6" s="195"/>
      <c r="Q6" s="195"/>
      <c r="R6" s="195"/>
      <c r="S6" s="195"/>
      <c r="T6" s="195"/>
      <c r="U6" s="195"/>
      <c r="V6" s="195"/>
      <c r="W6" s="195"/>
      <c r="X6" s="195"/>
      <c r="Y6" s="195"/>
      <c r="Z6" s="195"/>
      <c r="AA6" s="195"/>
      <c r="AB6" s="195"/>
      <c r="AC6" s="195"/>
      <c r="AD6" s="195"/>
      <c r="AE6" s="195"/>
      <c r="AF6" s="195"/>
      <c r="AG6" s="195"/>
      <c r="AH6" s="195"/>
      <c r="AI6" s="195"/>
      <c r="AJ6" s="195"/>
      <c r="AL6" s="196" t="s">
        <v>308</v>
      </c>
      <c r="AM6" s="197"/>
      <c r="AN6" s="197"/>
      <c r="AO6" s="197"/>
      <c r="AP6" s="198"/>
      <c r="AR6" s="199" t="s">
        <v>268</v>
      </c>
      <c r="AS6" s="200"/>
      <c r="AT6" s="201"/>
    </row>
    <row r="7" spans="3:61" ht="47" x14ac:dyDescent="0.55000000000000004">
      <c r="C7" s="189"/>
      <c r="D7" s="54"/>
      <c r="E7" s="202" t="s">
        <v>284</v>
      </c>
      <c r="F7" s="202" t="s">
        <v>251</v>
      </c>
      <c r="G7" s="202" t="s">
        <v>252</v>
      </c>
      <c r="H7" s="202" t="s">
        <v>283</v>
      </c>
      <c r="I7" s="202" t="s">
        <v>253</v>
      </c>
      <c r="J7" s="202" t="s">
        <v>254</v>
      </c>
      <c r="K7" s="202" t="s">
        <v>338</v>
      </c>
      <c r="L7" s="48"/>
      <c r="M7" s="173" t="s">
        <v>52</v>
      </c>
      <c r="N7" s="174"/>
      <c r="O7" s="174"/>
      <c r="P7" s="175"/>
      <c r="Q7" s="50"/>
      <c r="R7" s="173" t="s">
        <v>53</v>
      </c>
      <c r="S7" s="174"/>
      <c r="T7" s="174"/>
      <c r="U7" s="175"/>
      <c r="V7" s="50"/>
      <c r="W7" s="173" t="s">
        <v>54</v>
      </c>
      <c r="X7" s="174"/>
      <c r="Y7" s="174"/>
      <c r="Z7" s="175"/>
      <c r="AA7" s="50"/>
      <c r="AB7" s="173" t="s">
        <v>271</v>
      </c>
      <c r="AC7" s="174"/>
      <c r="AD7" s="174"/>
      <c r="AE7" s="175"/>
      <c r="AF7" s="50"/>
      <c r="AG7" s="173" t="s">
        <v>124</v>
      </c>
      <c r="AH7" s="174"/>
      <c r="AI7" s="174"/>
      <c r="AJ7" s="175"/>
      <c r="AL7" s="176" t="s">
        <v>315</v>
      </c>
      <c r="AM7" s="177"/>
      <c r="AN7" s="177"/>
      <c r="AO7" s="178"/>
      <c r="AP7" s="179" t="s">
        <v>337</v>
      </c>
      <c r="AR7" s="182" t="s">
        <v>269</v>
      </c>
      <c r="AS7" s="182" t="s">
        <v>290</v>
      </c>
      <c r="AT7" s="182" t="s">
        <v>270</v>
      </c>
    </row>
    <row r="8" spans="3:61" ht="47" customHeight="1" x14ac:dyDescent="0.55000000000000004">
      <c r="C8" s="189"/>
      <c r="D8" s="54"/>
      <c r="E8" s="203"/>
      <c r="F8" s="203"/>
      <c r="G8" s="203"/>
      <c r="H8" s="203"/>
      <c r="I8" s="203"/>
      <c r="J8" s="203"/>
      <c r="K8" s="203"/>
      <c r="L8" s="48"/>
      <c r="M8" s="185" t="s">
        <v>307</v>
      </c>
      <c r="N8" s="186"/>
      <c r="O8" s="187"/>
      <c r="P8" s="169" t="s">
        <v>306</v>
      </c>
      <c r="Q8" s="50"/>
      <c r="R8" s="185" t="s">
        <v>307</v>
      </c>
      <c r="S8" s="186"/>
      <c r="T8" s="187"/>
      <c r="U8" s="169" t="s">
        <v>306</v>
      </c>
      <c r="V8" s="50"/>
      <c r="W8" s="185" t="s">
        <v>307</v>
      </c>
      <c r="X8" s="186"/>
      <c r="Y8" s="187"/>
      <c r="Z8" s="169" t="s">
        <v>306</v>
      </c>
      <c r="AA8" s="50"/>
      <c r="AB8" s="185" t="s">
        <v>307</v>
      </c>
      <c r="AC8" s="186"/>
      <c r="AD8" s="187"/>
      <c r="AE8" s="169" t="s">
        <v>306</v>
      </c>
      <c r="AF8" s="50"/>
      <c r="AG8" s="185" t="s">
        <v>307</v>
      </c>
      <c r="AH8" s="186"/>
      <c r="AI8" s="187"/>
      <c r="AJ8" s="169" t="s">
        <v>306</v>
      </c>
      <c r="AL8" s="171" t="s">
        <v>309</v>
      </c>
      <c r="AM8" s="171" t="s">
        <v>310</v>
      </c>
      <c r="AN8" s="171" t="s">
        <v>258</v>
      </c>
      <c r="AO8" s="171" t="s">
        <v>319</v>
      </c>
      <c r="AP8" s="180"/>
      <c r="AR8" s="183"/>
      <c r="AS8" s="183"/>
      <c r="AT8" s="183"/>
    </row>
    <row r="9" spans="3:61" ht="199" customHeight="1" x14ac:dyDescent="0.55000000000000004">
      <c r="C9" s="190"/>
      <c r="D9" s="54"/>
      <c r="E9" s="206"/>
      <c r="F9" s="204"/>
      <c r="G9" s="204"/>
      <c r="H9" s="204"/>
      <c r="I9" s="204"/>
      <c r="J9" s="204"/>
      <c r="K9" s="204"/>
      <c r="L9" s="51"/>
      <c r="M9" s="52" t="s">
        <v>84</v>
      </c>
      <c r="N9" s="53" t="s">
        <v>85</v>
      </c>
      <c r="O9" s="53" t="s">
        <v>86</v>
      </c>
      <c r="P9" s="170"/>
      <c r="Q9" s="50"/>
      <c r="R9" s="52" t="s">
        <v>84</v>
      </c>
      <c r="S9" s="53" t="s">
        <v>85</v>
      </c>
      <c r="T9" s="53" t="s">
        <v>86</v>
      </c>
      <c r="U9" s="170"/>
      <c r="V9" s="50"/>
      <c r="W9" s="52" t="s">
        <v>84</v>
      </c>
      <c r="X9" s="53" t="s">
        <v>85</v>
      </c>
      <c r="Y9" s="53" t="s">
        <v>86</v>
      </c>
      <c r="Z9" s="170"/>
      <c r="AA9" s="50"/>
      <c r="AB9" s="52" t="s">
        <v>84</v>
      </c>
      <c r="AC9" s="53" t="s">
        <v>85</v>
      </c>
      <c r="AD9" s="53" t="s">
        <v>86</v>
      </c>
      <c r="AE9" s="170"/>
      <c r="AF9" s="50"/>
      <c r="AG9" s="52" t="s">
        <v>84</v>
      </c>
      <c r="AH9" s="53" t="s">
        <v>85</v>
      </c>
      <c r="AI9" s="53" t="s">
        <v>86</v>
      </c>
      <c r="AJ9" s="170"/>
      <c r="AL9" s="172"/>
      <c r="AM9" s="205"/>
      <c r="AN9" s="172"/>
      <c r="AO9" s="172"/>
      <c r="AP9" s="181"/>
      <c r="AR9" s="184"/>
      <c r="AS9" s="184"/>
      <c r="AT9" s="184"/>
      <c r="BI9"/>
    </row>
    <row r="10" spans="3:61" ht="30" customHeight="1" x14ac:dyDescent="0.2">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L10" s="54"/>
      <c r="AM10" s="54"/>
      <c r="AN10" s="54"/>
      <c r="AO10" s="54"/>
      <c r="AP10" s="54"/>
      <c r="AR10" s="54"/>
      <c r="AS10" s="54"/>
      <c r="AT10" s="54"/>
    </row>
    <row r="11" spans="3:61" ht="195" customHeight="1" x14ac:dyDescent="0.55000000000000004">
      <c r="C11" s="57" t="s">
        <v>28</v>
      </c>
      <c r="D11" s="54"/>
      <c r="E11" s="55" t="str">
        <f>Taxonomy!D7</f>
        <v>✗</v>
      </c>
      <c r="F11" s="55" t="str">
        <f>Taxonomy!E7</f>
        <v>✗</v>
      </c>
      <c r="G11" s="55" t="str">
        <f>Taxonomy!F7</f>
        <v>✗</v>
      </c>
      <c r="H11" s="55" t="str">
        <f>Taxonomy!G7</f>
        <v>✗</v>
      </c>
      <c r="I11" s="55" t="str">
        <f>Taxonomy!H7</f>
        <v>✗</v>
      </c>
      <c r="J11" s="55" t="str">
        <f>Taxonomy!I7</f>
        <v>no</v>
      </c>
      <c r="K11" s="55" t="str">
        <f>Taxonomy!J7</f>
        <v>no</v>
      </c>
      <c r="L11"/>
      <c r="M11" s="55" t="str">
        <f>Taxonomy!L7</f>
        <v>no</v>
      </c>
      <c r="N11" s="55" t="str">
        <f>Taxonomy!M7</f>
        <v>no</v>
      </c>
      <c r="O11" s="55" t="str">
        <f>Taxonomy!N7</f>
        <v>no</v>
      </c>
      <c r="P11" s="55" t="str">
        <f>Taxonomy!O7</f>
        <v>no</v>
      </c>
      <c r="Q11"/>
      <c r="R11" s="55" t="str">
        <f>Taxonomy!Q7</f>
        <v>no</v>
      </c>
      <c r="S11" s="55" t="str">
        <f>Taxonomy!R7</f>
        <v>no</v>
      </c>
      <c r="T11" s="55" t="str">
        <f>Taxonomy!S7</f>
        <v>no</v>
      </c>
      <c r="U11" s="55" t="str">
        <f>Taxonomy!T7</f>
        <v>no</v>
      </c>
      <c r="V11"/>
      <c r="W11" s="55" t="str">
        <f>Taxonomy!V7</f>
        <v>no</v>
      </c>
      <c r="X11" s="55" t="str">
        <f>Taxonomy!W7</f>
        <v>no</v>
      </c>
      <c r="Y11" s="55" t="str">
        <f>Taxonomy!X7</f>
        <v>no</v>
      </c>
      <c r="Z11" s="55" t="str">
        <f>Taxonomy!Y7</f>
        <v>no</v>
      </c>
      <c r="AA11"/>
      <c r="AB11" s="55" t="str">
        <f>Taxonomy!AA7</f>
        <v>no</v>
      </c>
      <c r="AC11" s="55" t="str">
        <f>Taxonomy!AB7</f>
        <v>no</v>
      </c>
      <c r="AD11" s="55" t="str">
        <f>Taxonomy!AC7</f>
        <v>no</v>
      </c>
      <c r="AE11" s="55" t="str">
        <f>Taxonomy!AD7</f>
        <v>no</v>
      </c>
      <c r="AF11"/>
      <c r="AG11" s="55" t="str">
        <f>Taxonomy!AF7</f>
        <v>no</v>
      </c>
      <c r="AH11" s="55" t="str">
        <f>Taxonomy!AG7</f>
        <v>✗(RAPL)</v>
      </c>
      <c r="AI11" s="55" t="str">
        <f>Taxonomy!AH7</f>
        <v>no</v>
      </c>
      <c r="AJ11" s="55" t="str">
        <f>Taxonomy!AI7</f>
        <v>OS-provided PID CPU %</v>
      </c>
      <c r="AL11" s="55" t="str">
        <f>Taxonomy!AK7</f>
        <v>✗</v>
      </c>
      <c r="AM11" s="55" t="str">
        <f>Taxonomy!AL7</f>
        <v>no</v>
      </c>
      <c r="AN11" s="55" t="str">
        <f>Taxonomy!AM7</f>
        <v>no</v>
      </c>
      <c r="AO11" s="55" t="str">
        <f>Taxonomy!AN7</f>
        <v>no</v>
      </c>
      <c r="AP11" s="55" t="str">
        <f>Taxonomy!AO7</f>
        <v>no</v>
      </c>
      <c r="AR11" s="55" t="str">
        <f>Taxonomy!AQ7</f>
        <v>no</v>
      </c>
      <c r="AS11" s="55" t="str">
        <f>Taxonomy!AR7</f>
        <v>✗</v>
      </c>
      <c r="AT11" s="55" t="str">
        <f>Taxonomy!AS7</f>
        <v>no</v>
      </c>
    </row>
    <row r="12" spans="3:61" ht="409.5" customHeight="1" x14ac:dyDescent="0.55000000000000004">
      <c r="C12" s="58" t="s">
        <v>313</v>
      </c>
      <c r="D12" s="54"/>
      <c r="E12" s="55" t="str">
        <f>Taxonomy!D8</f>
        <v>✗</v>
      </c>
      <c r="F12" s="55" t="str">
        <f>Taxonomy!E8</f>
        <v>✗</v>
      </c>
      <c r="G12" s="55" t="str">
        <f>Taxonomy!F8</f>
        <v>✗</v>
      </c>
      <c r="H12" s="55" t="str">
        <f>Taxonomy!G8</f>
        <v>✗</v>
      </c>
      <c r="I12" s="55" t="str">
        <f>Taxonomy!H8</f>
        <v>✗</v>
      </c>
      <c r="J12" s="55" t="str">
        <f>Taxonomy!I8</f>
        <v>no</v>
      </c>
      <c r="K12" s="55" t="str">
        <f>Taxonomy!J8</f>
        <v>no</v>
      </c>
      <c r="L12"/>
      <c r="M12" s="55" t="str">
        <f>Taxonomy!L8</f>
        <v>no</v>
      </c>
      <c r="N12" s="55" t="str">
        <f>Taxonomy!M8</f>
        <v>✗ (RAPL)</v>
      </c>
      <c r="O12" s="55" t="str">
        <f>Taxonomy!N8</f>
        <v>✗Regression-based models for VM deployment</v>
      </c>
      <c r="P12" s="55" t="str">
        <f>Taxonomy!O8</f>
        <v>OS-provided PID CPU %
Cgroups Stat</v>
      </c>
      <c r="Q12"/>
      <c r="R12" s="55" t="str">
        <f>Taxonomy!Q8</f>
        <v>no</v>
      </c>
      <c r="S12" s="55" t="str">
        <f>Taxonomy!R8</f>
        <v>✗(RAPL)</v>
      </c>
      <c r="T12" s="55" t="str">
        <f>Taxonomy!S8</f>
        <v>no</v>
      </c>
      <c r="U12" s="55" t="str">
        <f>Taxonomy!T8</f>
        <v>OS-provided PID CPU %
Cgroups Stat</v>
      </c>
      <c r="V12"/>
      <c r="W12" s="55" t="str">
        <f>Taxonomy!V8</f>
        <v>no</v>
      </c>
      <c r="X12" s="55" t="str">
        <f>Taxonomy!W8</f>
        <v>✗(NVLM)</v>
      </c>
      <c r="Y12" s="55" t="str">
        <f>Taxonomy!X8</f>
        <v>no</v>
      </c>
      <c r="Z12" s="55" t="str">
        <f>Taxonomy!Y8</f>
        <v xml:space="preserve">NVLM-provided (i.e. driver) per-process SM utilization </v>
      </c>
      <c r="AA12"/>
      <c r="AB12" s="55" t="str">
        <f>Taxonomy!AA8</f>
        <v>no</v>
      </c>
      <c r="AC12" s="55" t="str">
        <f>Taxonomy!AB8</f>
        <v>no</v>
      </c>
      <c r="AD12" s="55" t="str">
        <f>Taxonomy!AC8</f>
        <v>no</v>
      </c>
      <c r="AE12" s="55" t="str">
        <f>Taxonomy!AD8</f>
        <v>no</v>
      </c>
      <c r="AF12"/>
      <c r="AG12" s="55" t="str">
        <f>Taxonomy!AF8</f>
        <v>✗(IPMI, ACPI)</v>
      </c>
      <c r="AH12" s="55" t="str">
        <f>Taxonomy!AG8</f>
        <v>no</v>
      </c>
      <c r="AI12" s="55" t="str">
        <f>Taxonomy!AH8</f>
        <v>Regression-based model</v>
      </c>
      <c r="AJ12" s="55" t="str">
        <f>Taxonomy!AI8</f>
        <v>OS-provided PID CPU %
Cgroups Stat</v>
      </c>
      <c r="AL12" s="55" t="str">
        <f>Taxonomy!AK8</f>
        <v>✗</v>
      </c>
      <c r="AM12" s="55" t="str">
        <f>Taxonomy!AL8</f>
        <v>no</v>
      </c>
      <c r="AN12" s="55" t="str">
        <f>Taxonomy!AM8</f>
        <v>no</v>
      </c>
      <c r="AO12" s="55" t="str">
        <f>Taxonomy!AN8</f>
        <v>no</v>
      </c>
      <c r="AP12" s="55" t="str">
        <f>Taxonomy!AO8</f>
        <v>Modeled and allocated
proportionnaly to processes size</v>
      </c>
      <c r="AR12" s="55" t="str">
        <f>Taxonomy!AQ8</f>
        <v>Regression model (# cores and OS-provided Resource Utilisation metrics as input)</v>
      </c>
      <c r="AS12" s="55" t="str">
        <f>Taxonomy!AR8</f>
        <v>no
( (CNCF 2023) mentions a planned "passthrough" mode for VM deployment which expose VM energy in a shared file.</v>
      </c>
      <c r="AT12" s="55" t="str">
        <f>Taxonomy!AS8</f>
        <v>no</v>
      </c>
    </row>
    <row r="13" spans="3:61" ht="409" customHeight="1" x14ac:dyDescent="0.55000000000000004">
      <c r="C13" s="58" t="s">
        <v>312</v>
      </c>
      <c r="D13" s="54"/>
      <c r="E13" s="55" t="str">
        <f>Taxonomy!D9</f>
        <v>✗</v>
      </c>
      <c r="F13" s="55" t="str">
        <f>Taxonomy!E9</f>
        <v>✗</v>
      </c>
      <c r="G13" s="55" t="str">
        <f>Taxonomy!F9</f>
        <v>✗</v>
      </c>
      <c r="H13" s="55" t="str">
        <f>Taxonomy!G9</f>
        <v>✗</v>
      </c>
      <c r="I13" s="55" t="str">
        <f>Taxonomy!H9</f>
        <v>✗</v>
      </c>
      <c r="J13" s="55" t="str">
        <f>Taxonomy!I9</f>
        <v>no</v>
      </c>
      <c r="K13" s="55" t="str">
        <f>Taxonomy!J9</f>
        <v>no</v>
      </c>
      <c r="L13"/>
      <c r="M13" s="55" t="str">
        <f>Taxonomy!L9</f>
        <v>no</v>
      </c>
      <c r="N13" s="55" t="str">
        <f>Taxonomy!M9</f>
        <v>✗ (RAPL)</v>
      </c>
      <c r="O13" s="55" t="str">
        <f>Taxonomy!N9</f>
        <v>✗Regression-based 
 models for VM deployment</v>
      </c>
      <c r="P13" s="55" t="str">
        <f>Taxonomy!O9</f>
        <v>PID runtime + HPC vector (cycles, instructions, cache misses) through eBPF tracing</v>
      </c>
      <c r="Q13"/>
      <c r="R13" s="55" t="str">
        <f>Taxonomy!Q9</f>
        <v>no</v>
      </c>
      <c r="S13" s="55" t="str">
        <f>Taxonomy!R9</f>
        <v>✗(RAPL)</v>
      </c>
      <c r="T13" s="55" t="str">
        <f>Taxonomy!S9</f>
        <v>no</v>
      </c>
      <c r="U13" s="55" t="str">
        <f>Taxonomy!T9</f>
        <v>PID runtime + HPC vector (cycles, instructions, cache misses) through eBPF tracing</v>
      </c>
      <c r="V13"/>
      <c r="W13" s="55" t="str">
        <f>Taxonomy!V9</f>
        <v>no</v>
      </c>
      <c r="X13" s="55" t="str">
        <f>Taxonomy!W9</f>
        <v>✗(NVLM)</v>
      </c>
      <c r="Y13" s="55" t="str">
        <f>Taxonomy!X9</f>
        <v>no</v>
      </c>
      <c r="Z13" s="55" t="str">
        <f>Taxonomy!Y9</f>
        <v xml:space="preserve">NVLM-provided (i.e. driver) per-process SM utilization </v>
      </c>
      <c r="AA13"/>
      <c r="AB13" s="55" t="str">
        <f>Taxonomy!AA9</f>
        <v>no</v>
      </c>
      <c r="AC13" s="55" t="str">
        <f>Taxonomy!AB9</f>
        <v>no</v>
      </c>
      <c r="AD13" s="55" t="str">
        <f>Taxonomy!AC9</f>
        <v>no</v>
      </c>
      <c r="AE13" s="55" t="str">
        <f>Taxonomy!AD9</f>
        <v>no</v>
      </c>
      <c r="AF13"/>
      <c r="AG13" s="55" t="str">
        <f>Taxonomy!AF9</f>
        <v>✗(IPMI, ACPI)</v>
      </c>
      <c r="AH13" s="55" t="str">
        <f>Taxonomy!AG9</f>
        <v>no</v>
      </c>
      <c r="AI13" s="55" t="str">
        <f>Taxonomy!AH9</f>
        <v>Regression-based 
trained power model</v>
      </c>
      <c r="AJ13" s="55" t="str">
        <f>Taxonomy!AI9</f>
        <v>PID runtime + HPC vector (cycles, instructions, cache misses) through eBPF tracing</v>
      </c>
      <c r="AL13" s="55" t="str">
        <f>Taxonomy!AK9</f>
        <v>no</v>
      </c>
      <c r="AM13" s="55" t="str">
        <f>Taxonomy!AL9</f>
        <v>✗ (from HPC vector  (cycles, instructions, cache misses))</v>
      </c>
      <c r="AN13" s="55" t="str">
        <f>Taxonomy!AM9</f>
        <v>no</v>
      </c>
      <c r="AO13" s="55" t="str">
        <f>Taxonomy!AN9</f>
        <v>no</v>
      </c>
      <c r="AP13" s="55" t="str">
        <f>Taxonomy!AO9</f>
        <v>Modeled and allocated
proportionnaly to processes size</v>
      </c>
      <c r="AR13" s="55" t="str">
        <f>Taxonomy!AQ9</f>
        <v>Regression model (# cores and OS-provided Resource Utilisation metrics as input)</v>
      </c>
      <c r="AS13" s="55" t="str">
        <f>Taxonomy!AR9</f>
        <v>no
( (CNCF 2023) mentions a planned "passthrough" mode for VM deployment which expose VM energy in a shared file.</v>
      </c>
      <c r="AT13" s="55" t="str">
        <f>Taxonomy!AS9</f>
        <v>no</v>
      </c>
    </row>
    <row r="14" spans="3:61" ht="403" customHeight="1" x14ac:dyDescent="0.55000000000000004">
      <c r="C14" s="59" t="s">
        <v>23</v>
      </c>
      <c r="D14" s="54"/>
      <c r="E14" s="55" t="str">
        <f>Taxonomy!D10</f>
        <v>no</v>
      </c>
      <c r="F14" s="55" t="str">
        <f>Taxonomy!E10</f>
        <v>no</v>
      </c>
      <c r="G14" s="55" t="str">
        <f>Taxonomy!F10</f>
        <v>✗</v>
      </c>
      <c r="H14" s="55" t="str">
        <f>Taxonomy!G10</f>
        <v>no</v>
      </c>
      <c r="I14" s="55" t="str">
        <f>Taxonomy!H10</f>
        <v>no</v>
      </c>
      <c r="J14" s="55" t="str">
        <f>Taxonomy!I10</f>
        <v>no</v>
      </c>
      <c r="K14" s="55" t="str">
        <f>Taxonomy!J10</f>
        <v>✗(SCI functionnality)</v>
      </c>
      <c r="L14"/>
      <c r="M14" s="55" t="str">
        <f>Taxonomy!L10</f>
        <v>✗(Compatible with certain Metric Providers)</v>
      </c>
      <c r="N14" s="55" t="str">
        <f>Taxonomy!M10</f>
        <v>✗(RAPL)</v>
      </c>
      <c r="O14" s="55" t="str">
        <f>Taxonomy!N10</f>
        <v xml:space="preserve">✗1) XGBoost model (TDP, Machine Specs and CPU%)
2) Analytical Model(TDP, #CPUchips and CPU %) </v>
      </c>
      <c r="P14" s="55" t="str">
        <f>Taxonomy!O10</f>
        <v>OS-provided PID CPU %
Cgroups Stat
Code Special Print (Code Section)</v>
      </c>
      <c r="Q14"/>
      <c r="R14" s="55" t="str">
        <f>Taxonomy!Q10</f>
        <v>no</v>
      </c>
      <c r="S14" s="55" t="str">
        <f>Taxonomy!R10</f>
        <v>✗(RAPL)</v>
      </c>
      <c r="T14" s="55" t="str">
        <f>Taxonomy!S10</f>
        <v>no</v>
      </c>
      <c r="U14" s="55" t="str">
        <f>Taxonomy!T10</f>
        <v>OS-provided PID CPU %
Cgroups Stat (Container)
Code Special Print (Code Section)</v>
      </c>
      <c r="V14"/>
      <c r="W14" s="55" t="str">
        <f>Taxonomy!V10</f>
        <v>no</v>
      </c>
      <c r="X14" s="55" t="str">
        <f>Taxonomy!W10</f>
        <v>✗(NVLM)</v>
      </c>
      <c r="Y14" s="55" t="str">
        <f>Taxonomy!X10</f>
        <v>no</v>
      </c>
      <c r="Z14" s="55" t="str">
        <f>Taxonomy!Y10</f>
        <v>OS-provided PID CPU %
Cgroups Stat
Code Special Print (Code Section)</v>
      </c>
      <c r="AA14"/>
      <c r="AB14" s="55" t="str">
        <f>Taxonomy!AA10</f>
        <v>no</v>
      </c>
      <c r="AC14" s="55" t="str">
        <f>Taxonomy!AB10</f>
        <v>no</v>
      </c>
      <c r="AD14" s="55" t="str">
        <f>Taxonomy!AC10</f>
        <v>no</v>
      </c>
      <c r="AE14" s="55" t="str">
        <f>Taxonomy!AD10</f>
        <v>no</v>
      </c>
      <c r="AF14"/>
      <c r="AG14" s="55" t="str">
        <f>Taxonomy!AF10</f>
        <v>✗</v>
      </c>
      <c r="AH14" s="55" t="str">
        <f>Taxonomy!AG10</f>
        <v>✗(RAPL PSYS Domain)</v>
      </c>
      <c r="AI14" s="55" t="str">
        <f>Taxonomy!AH10</f>
        <v xml:space="preserve">✗1) XGBoost model (TDP, Machine Specs and CPU%)
2) Analytical Model(TDP, #CPUchips and CPU %) </v>
      </c>
      <c r="AJ14" s="55" t="str">
        <f>Taxonomy!AI10</f>
        <v>OS-provided PID CPU %
Cgroups Stat (container)
Code Special Print (Code Section)</v>
      </c>
      <c r="AL14" s="55" t="str">
        <f>Taxonomy!AK10</f>
        <v>✗</v>
      </c>
      <c r="AM14" s="55" t="str">
        <f>Taxonomy!AL10</f>
        <v>no</v>
      </c>
      <c r="AN14" s="55" t="str">
        <f>Taxonomy!AM10</f>
        <v>no</v>
      </c>
      <c r="AO14" s="55" t="str">
        <f>Taxonomy!AN10</f>
        <v>✗(SCI functionnality)</v>
      </c>
      <c r="AP14" s="55" t="str">
        <f>Taxonomy!AO10</f>
        <v>Modeled and 
allocated to container 
according to OS-provided PID CPU %</v>
      </c>
      <c r="AR14" s="55" t="str">
        <f>Taxonomy!AQ10</f>
        <v xml:space="preserve">1) XGBoost model (# cores TDP, Machine Specs and CPU%)
2) Analytical Model(TDP, #CPUchips and CPU %) </v>
      </c>
      <c r="AS14" s="55" t="str">
        <f>Taxonomy!AR10</f>
        <v>no</v>
      </c>
      <c r="AT14" s="55" t="str">
        <f>Taxonomy!AS10</f>
        <v>no</v>
      </c>
    </row>
    <row r="15" spans="3:61" ht="30" customHeight="1" x14ac:dyDescent="0.55000000000000004">
      <c r="C15" s="48"/>
      <c r="D15" s="54"/>
      <c r="E15"/>
      <c r="F15" s="56"/>
      <c r="G15" s="56"/>
      <c r="H15" s="56"/>
      <c r="I15" s="56"/>
      <c r="J15" s="56"/>
      <c r="K15" s="56"/>
      <c r="L15"/>
      <c r="M15" s="56"/>
      <c r="N15" s="56"/>
      <c r="O15" s="56"/>
      <c r="P15" s="56"/>
      <c r="Q15"/>
      <c r="R15" s="56"/>
      <c r="S15" s="56"/>
      <c r="T15" s="56"/>
      <c r="U15" s="56"/>
      <c r="V15"/>
      <c r="W15" s="56"/>
      <c r="X15" s="56"/>
      <c r="Y15" s="56"/>
      <c r="Z15" s="56"/>
      <c r="AA15"/>
      <c r="AB15" s="56"/>
      <c r="AC15" s="56"/>
      <c r="AD15" s="56"/>
      <c r="AE15" s="56"/>
      <c r="AF15"/>
      <c r="AG15" s="56"/>
      <c r="AH15" s="56"/>
      <c r="AI15" s="56"/>
      <c r="AJ15" s="56"/>
      <c r="AL15" s="56"/>
      <c r="AM15" s="56"/>
      <c r="AN15" s="56"/>
      <c r="AO15" s="56"/>
      <c r="AP15" s="56"/>
      <c r="AR15" s="56"/>
      <c r="AS15" s="56"/>
      <c r="AT15" s="56"/>
    </row>
    <row r="16" spans="3:61" ht="320" customHeight="1" x14ac:dyDescent="0.55000000000000004">
      <c r="C16" s="57" t="s">
        <v>256</v>
      </c>
      <c r="D16" s="54"/>
      <c r="E16" s="55" t="str">
        <f>Taxonomy!D13</f>
        <v>no</v>
      </c>
      <c r="F16" s="55" t="str">
        <f>Taxonomy!E13</f>
        <v>no</v>
      </c>
      <c r="G16" s="55" t="str">
        <f>Taxonomy!F13</f>
        <v>no</v>
      </c>
      <c r="H16" s="55" t="str">
        <f>Taxonomy!G13</f>
        <v>no</v>
      </c>
      <c r="I16" s="55" t="str">
        <f>Taxonomy!H13</f>
        <v>✗</v>
      </c>
      <c r="J16" s="55" t="str">
        <f>Taxonomy!I13</f>
        <v>no</v>
      </c>
      <c r="K16" s="55" t="str">
        <f>Taxonomy!J13</f>
        <v>no</v>
      </c>
      <c r="L16"/>
      <c r="M16" s="55" t="str">
        <f>Taxonomy!L13</f>
        <v>no</v>
      </c>
      <c r="N16" s="55" t="str">
        <f>Taxonomy!M13</f>
        <v>no</v>
      </c>
      <c r="O16" s="55" t="str">
        <f>Taxonomy!N13</f>
        <v xml:space="preserve">✗ Linear Regression Model (HPC : "instructions", "cache references", "cache misses" </v>
      </c>
      <c r="P16" s="55" t="str">
        <f>Taxonomy!O13</f>
        <v>OS-provided PID CPU %</v>
      </c>
      <c r="Q16"/>
      <c r="R16" s="55" t="str">
        <f>Taxonomy!Q13</f>
        <v>no</v>
      </c>
      <c r="S16" s="55" t="str">
        <f>Taxonomy!R13</f>
        <v>no</v>
      </c>
      <c r="T16" s="55" t="str">
        <f>Taxonomy!S13</f>
        <v>no</v>
      </c>
      <c r="U16" s="55" t="str">
        <f>Taxonomy!T13</f>
        <v>no</v>
      </c>
      <c r="V16"/>
      <c r="W16" s="55" t="str">
        <f>Taxonomy!V13</f>
        <v>no</v>
      </c>
      <c r="X16" s="55" t="str">
        <f>Taxonomy!W13</f>
        <v>no</v>
      </c>
      <c r="Y16" s="55" t="str">
        <f>Taxonomy!X13</f>
        <v>no</v>
      </c>
      <c r="Z16" s="55" t="str">
        <f>Taxonomy!Y13</f>
        <v>no</v>
      </c>
      <c r="AA16"/>
      <c r="AB16" s="55" t="str">
        <f>Taxonomy!AA13</f>
        <v>no</v>
      </c>
      <c r="AC16" s="55" t="str">
        <f>Taxonomy!AB13</f>
        <v>no</v>
      </c>
      <c r="AD16" s="55" t="str">
        <f>Taxonomy!AC13</f>
        <v>✗</v>
      </c>
      <c r="AE16" s="55" t="str">
        <f>Taxonomy!AD13</f>
        <v>OS provided per-process (PID)Network I/O</v>
      </c>
      <c r="AF16"/>
      <c r="AG16" s="55" t="str">
        <f>Taxonomy!AF13</f>
        <v>no</v>
      </c>
      <c r="AH16" s="55" t="str">
        <f>Taxonomy!AG13</f>
        <v>no</v>
      </c>
      <c r="AI16" s="55" t="str">
        <f>Taxonomy!AH13</f>
        <v>✗(TDP)</v>
      </c>
      <c r="AJ16" s="55" t="str">
        <f>Taxonomy!AI13</f>
        <v>OS-provided PID CPU %</v>
      </c>
      <c r="AL16" s="55" t="str">
        <f>Taxonomy!AK13</f>
        <v>✗</v>
      </c>
      <c r="AM16" s="55" t="str">
        <f>Taxonomy!AL13</f>
        <v>no</v>
      </c>
      <c r="AN16" s="55" t="str">
        <f>Taxonomy!AM13</f>
        <v>no</v>
      </c>
      <c r="AO16" s="55" t="str">
        <f>Taxonomy!AN13</f>
        <v>no</v>
      </c>
      <c r="AP16" s="55" t="str">
        <f>Taxonomy!AO13</f>
        <v>no</v>
      </c>
      <c r="AR16" s="55" t="str">
        <f>Taxonomy!AQ13</f>
        <v>no</v>
      </c>
      <c r="AS16" s="55" t="str">
        <f>Taxonomy!AR13</f>
        <v>no</v>
      </c>
      <c r="AT16" s="55" t="str">
        <f>Taxonomy!AS13</f>
        <v>no</v>
      </c>
    </row>
    <row r="17" spans="3:46" ht="263" customHeight="1" x14ac:dyDescent="0.55000000000000004">
      <c r="C17" s="59" t="s">
        <v>40</v>
      </c>
      <c r="D17" s="54"/>
      <c r="E17" s="55" t="str">
        <f>Taxonomy!D14</f>
        <v>no</v>
      </c>
      <c r="F17" s="55" t="str">
        <f>Taxonomy!E14</f>
        <v>no</v>
      </c>
      <c r="G17" s="55" t="str">
        <f>Taxonomy!F14</f>
        <v>no</v>
      </c>
      <c r="H17" s="55" t="str">
        <f>Taxonomy!G14</f>
        <v>no</v>
      </c>
      <c r="I17" s="55" t="str">
        <f>Taxonomy!H14</f>
        <v>✗</v>
      </c>
      <c r="J17" s="55" t="str">
        <f>Taxonomy!I14</f>
        <v>no</v>
      </c>
      <c r="K17" s="55" t="str">
        <f>Taxonomy!J14</f>
        <v>no</v>
      </c>
      <c r="L17"/>
      <c r="M17" s="55" t="str">
        <f>Taxonomy!L14</f>
        <v>no</v>
      </c>
      <c r="N17" s="55" t="str">
        <f>Taxonomy!M14</f>
        <v>no</v>
      </c>
      <c r="O17" s="55" t="str">
        <f>Taxonomy!N14</f>
        <v>✗HPC vector (cycles, instructions, cache misses)</v>
      </c>
      <c r="P17" s="55" t="str">
        <f>Taxonomy!O14</f>
        <v>OS-provided PID CPU %</v>
      </c>
      <c r="Q17"/>
      <c r="R17" s="55" t="str">
        <f>Taxonomy!Q14</f>
        <v>no</v>
      </c>
      <c r="S17" s="55" t="str">
        <f>Taxonomy!R14</f>
        <v>no</v>
      </c>
      <c r="T17" s="55" t="str">
        <f>Taxonomy!S14</f>
        <v>no</v>
      </c>
      <c r="U17" s="55" t="str">
        <f>Taxonomy!T14</f>
        <v>no</v>
      </c>
      <c r="V17"/>
      <c r="W17" s="55" t="str">
        <f>Taxonomy!V14</f>
        <v>no</v>
      </c>
      <c r="X17" s="55" t="str">
        <f>Taxonomy!W14</f>
        <v>no</v>
      </c>
      <c r="Y17" s="55" t="str">
        <f>Taxonomy!X14</f>
        <v>no</v>
      </c>
      <c r="Z17" s="55" t="str">
        <f>Taxonomy!Y14</f>
        <v>no</v>
      </c>
      <c r="AA17"/>
      <c r="AB17" s="55" t="str">
        <f>Taxonomy!AA14</f>
        <v>no</v>
      </c>
      <c r="AC17" s="55" t="str">
        <f>Taxonomy!AB14</f>
        <v>no</v>
      </c>
      <c r="AD17" s="55" t="str">
        <f>Taxonomy!AC14</f>
        <v>no</v>
      </c>
      <c r="AE17" s="55" t="str">
        <f>Taxonomy!AD14</f>
        <v>no</v>
      </c>
      <c r="AF17"/>
      <c r="AG17" s="55" t="str">
        <f>Taxonomy!AF14</f>
        <v>no</v>
      </c>
      <c r="AH17" s="55" t="str">
        <f>Taxonomy!AG14</f>
        <v>no</v>
      </c>
      <c r="AI17" s="55" t="str">
        <f>Taxonomy!AH14</f>
        <v>✗  HPC     (cycles, instructions, cache misses) vector</v>
      </c>
      <c r="AJ17" s="55" t="str">
        <f>Taxonomy!AI14</f>
        <v>OS-provided PID CPU %</v>
      </c>
      <c r="AL17" s="55" t="str">
        <f>Taxonomy!AK14</f>
        <v>✗</v>
      </c>
      <c r="AM17" s="55" t="str">
        <f>Taxonomy!AL14</f>
        <v>no</v>
      </c>
      <c r="AN17" s="55" t="str">
        <f>Taxonomy!AM14</f>
        <v>no</v>
      </c>
      <c r="AO17" s="55" t="str">
        <f>Taxonomy!AN14</f>
        <v>no</v>
      </c>
      <c r="AP17" s="55" t="str">
        <f>Taxonomy!AO14</f>
        <v>no</v>
      </c>
      <c r="AR17" s="55" t="str">
        <f>Taxonomy!AQ14</f>
        <v>no</v>
      </c>
      <c r="AS17" s="55" t="str">
        <f>Taxonomy!AR14</f>
        <v>no</v>
      </c>
      <c r="AT17" s="55" t="str">
        <f>Taxonomy!AS14</f>
        <v>no</v>
      </c>
    </row>
    <row r="18" spans="3:46" ht="269" customHeight="1" x14ac:dyDescent="0.55000000000000004">
      <c r="C18" s="59" t="s">
        <v>44</v>
      </c>
      <c r="D18" s="54"/>
      <c r="E18" s="55" t="str">
        <f>Taxonomy!D15</f>
        <v>✗</v>
      </c>
      <c r="F18" s="55" t="str">
        <f>Taxonomy!E15</f>
        <v>no</v>
      </c>
      <c r="G18" s="55" t="str">
        <f>Taxonomy!F15</f>
        <v>no</v>
      </c>
      <c r="H18" s="55" t="str">
        <f>Taxonomy!G15</f>
        <v>✗</v>
      </c>
      <c r="I18" s="55" t="str">
        <f>Taxonomy!H15</f>
        <v>✗</v>
      </c>
      <c r="J18" s="55" t="str">
        <f>Taxonomy!I15</f>
        <v>no</v>
      </c>
      <c r="K18" s="55" t="str">
        <f>Taxonomy!J15</f>
        <v>no</v>
      </c>
      <c r="L18"/>
      <c r="M18" s="55" t="str">
        <f>Taxonomy!L15</f>
        <v>no</v>
      </c>
      <c r="N18" s="55" t="str">
        <f>Taxonomy!M15</f>
        <v>✗ (RAPL throush powercap)</v>
      </c>
      <c r="O18" s="55" t="str">
        <f>Taxonomy!N15</f>
        <v>no</v>
      </c>
      <c r="P18" s="55" t="str">
        <f>Taxonomy!O15</f>
        <v>OS-provided PID CPU %</v>
      </c>
      <c r="Q18"/>
      <c r="R18" s="55" t="str">
        <f>Taxonomy!Q15</f>
        <v>no</v>
      </c>
      <c r="S18" s="55" t="str">
        <f>Taxonomy!R15</f>
        <v>✗(RAPL)</v>
      </c>
      <c r="T18" s="55" t="str">
        <f>Taxonomy!S15</f>
        <v>no</v>
      </c>
      <c r="U18" s="55" t="str">
        <f>Taxonomy!T15</f>
        <v>PID CPU %</v>
      </c>
      <c r="V18"/>
      <c r="W18" s="55" t="str">
        <f>Taxonomy!V15</f>
        <v>no</v>
      </c>
      <c r="X18" s="55" t="str">
        <f>Taxonomy!W15</f>
        <v>✗(NVIDIA-SMI, AMD-SMI) (computers and servers)</v>
      </c>
      <c r="Y18" s="55" t="str">
        <f>Taxonomy!X15</f>
        <v>no</v>
      </c>
      <c r="Z18" s="55" t="str">
        <f>Taxonomy!Y15</f>
        <v>PID GPU % (from driver API)</v>
      </c>
      <c r="AA18"/>
      <c r="AB18" s="55" t="str">
        <f>Taxonomy!AA15</f>
        <v>no</v>
      </c>
      <c r="AC18" s="55" t="str">
        <f>Taxonomy!AB15</f>
        <v>no</v>
      </c>
      <c r="AD18" s="55" t="str">
        <f>Taxonomy!AC15</f>
        <v>no</v>
      </c>
      <c r="AE18" s="55" t="str">
        <f>Taxonomy!AD15</f>
        <v>no</v>
      </c>
      <c r="AF18"/>
      <c r="AG18" s="55" t="str">
        <f>Taxonomy!AF15</f>
        <v>no</v>
      </c>
      <c r="AH18" s="55" t="str">
        <f>Taxonomy!AG15</f>
        <v>no</v>
      </c>
      <c r="AI18" s="55" t="str">
        <f>Taxonomy!AH15</f>
        <v>polynomial regression For Rasberry Pi</v>
      </c>
      <c r="AJ18" s="55" t="str">
        <f>Taxonomy!AI15</f>
        <v>OS-provided PID CPU %</v>
      </c>
      <c r="AL18" s="55" t="str">
        <f>Taxonomy!AK15</f>
        <v>✗</v>
      </c>
      <c r="AM18" s="55" t="str">
        <f>Taxonomy!AL15</f>
        <v>no</v>
      </c>
      <c r="AN18" s="55" t="str">
        <f>Taxonomy!AM15</f>
        <v>no</v>
      </c>
      <c r="AO18" s="55" t="str">
        <f>Taxonomy!AN15</f>
        <v>no</v>
      </c>
      <c r="AP18" s="55" t="str">
        <f>Taxonomy!AO15</f>
        <v>no</v>
      </c>
      <c r="AR18" s="55" t="str">
        <f>Taxonomy!AQ15</f>
        <v>no</v>
      </c>
      <c r="AS18" s="55" t="str">
        <f>Taxonomy!AR15</f>
        <v>✗</v>
      </c>
      <c r="AT18" s="55" t="str">
        <f>Taxonomy!AS15</f>
        <v>no</v>
      </c>
    </row>
    <row r="19" spans="3:46" ht="350" customHeight="1" x14ac:dyDescent="0.55000000000000004">
      <c r="C19" s="59" t="s">
        <v>206</v>
      </c>
      <c r="D19" s="54"/>
      <c r="E19" s="55" t="str">
        <f>Taxonomy!D16</f>
        <v>✗</v>
      </c>
      <c r="F19" s="55" t="str">
        <f>Taxonomy!E16</f>
        <v>no</v>
      </c>
      <c r="G19" s="55" t="str">
        <f>Taxonomy!F16</f>
        <v>no</v>
      </c>
      <c r="H19" s="55" t="str">
        <f>Taxonomy!G16</f>
        <v>✗</v>
      </c>
      <c r="I19" s="55" t="str">
        <f>Taxonomy!H16</f>
        <v>✗</v>
      </c>
      <c r="J19" s="55" t="str">
        <f>Taxonomy!I16</f>
        <v>no</v>
      </c>
      <c r="K19" s="55" t="str">
        <f>Taxonomy!J16</f>
        <v>no</v>
      </c>
      <c r="L19"/>
      <c r="M19" s="55" t="str">
        <f>Taxonomy!L16</f>
        <v>no</v>
      </c>
      <c r="N19" s="55" t="str">
        <f>Taxonomy!M16</f>
        <v>✗ (RAPL (linux/windows) or powerMetrics (Mac))</v>
      </c>
      <c r="O19" s="55" t="str">
        <f>Taxonomy!N16</f>
        <v>no</v>
      </c>
      <c r="P19" s="55" t="str">
        <f>Taxonomy!O16</f>
        <v>OS-provided PID CPU %</v>
      </c>
      <c r="Q19"/>
      <c r="R19" s="55" t="str">
        <f>Taxonomy!Q16</f>
        <v>no</v>
      </c>
      <c r="S19" s="55" t="str">
        <f>Taxonomy!R16</f>
        <v>✗(RAPL)</v>
      </c>
      <c r="T19" s="55" t="str">
        <f>Taxonomy!S16</f>
        <v>no</v>
      </c>
      <c r="U19" s="55" t="str">
        <f>Taxonomy!T16</f>
        <v>PID CPU %</v>
      </c>
      <c r="V19"/>
      <c r="W19" s="55" t="str">
        <f>Taxonomy!V16</f>
        <v>no</v>
      </c>
      <c r="X19" s="55" t="str">
        <f>Taxonomy!W16</f>
        <v>✗(NVIDIA-SMI, AMD-SMI) (computers and servers)</v>
      </c>
      <c r="Y19" s="55" t="str">
        <f>Taxonomy!X16</f>
        <v>no</v>
      </c>
      <c r="Z19" s="55" t="str">
        <f>Taxonomy!Y16</f>
        <v>PID GPU % (from driver API)</v>
      </c>
      <c r="AA19"/>
      <c r="AB19" s="55" t="str">
        <f>Taxonomy!AA16</f>
        <v>no</v>
      </c>
      <c r="AC19" s="55" t="str">
        <f>Taxonomy!AB16</f>
        <v>no</v>
      </c>
      <c r="AD19" s="55" t="str">
        <f>Taxonomy!AC16</f>
        <v>no</v>
      </c>
      <c r="AE19" s="55" t="str">
        <f>Taxonomy!AD16</f>
        <v>no</v>
      </c>
      <c r="AF19"/>
      <c r="AG19" s="55" t="str">
        <f>Taxonomy!AF16</f>
        <v>no</v>
      </c>
      <c r="AH19" s="55" t="str">
        <f>Taxonomy!AG16</f>
        <v>✗(RAPL)</v>
      </c>
      <c r="AI19" s="55" t="str">
        <f>Taxonomy!AH16</f>
        <v>polynomial regression For Rasberry Pi</v>
      </c>
      <c r="AJ19" s="55" t="str">
        <f>Taxonomy!AI16</f>
        <v>OS-provided PID CPU %</v>
      </c>
      <c r="AL19" s="55" t="str">
        <f>Taxonomy!AK16</f>
        <v>✗</v>
      </c>
      <c r="AM19" s="55" t="str">
        <f>Taxonomy!AL16</f>
        <v>no</v>
      </c>
      <c r="AN19" s="55" t="str">
        <f>Taxonomy!AM16</f>
        <v>no</v>
      </c>
      <c r="AO19" s="55" t="str">
        <f>Taxonomy!AN16</f>
        <v>no</v>
      </c>
      <c r="AP19" s="55" t="str">
        <f>Taxonomy!AO16</f>
        <v>Modeled and 
substracted before allocation</v>
      </c>
      <c r="AR19" s="55" t="str">
        <f>Taxonomy!AQ16</f>
        <v>no</v>
      </c>
      <c r="AS19" s="55" t="str">
        <f>Taxonomy!AR16</f>
        <v>✗</v>
      </c>
      <c r="AT19" s="55" t="str">
        <f>Taxonomy!AS16</f>
        <v>no</v>
      </c>
    </row>
    <row r="20" spans="3:46" ht="30" customHeight="1" x14ac:dyDescent="0.55000000000000004">
      <c r="C20" s="48"/>
      <c r="D20" s="54"/>
      <c r="E20"/>
      <c r="F20" s="56"/>
      <c r="G20" s="56"/>
      <c r="H20" s="56"/>
      <c r="I20" s="56"/>
      <c r="J20" s="56"/>
      <c r="K20" s="56"/>
      <c r="L20"/>
      <c r="M20" s="56"/>
      <c r="N20" s="56"/>
      <c r="O20" s="56"/>
      <c r="P20" s="56"/>
      <c r="Q20"/>
      <c r="R20" s="56"/>
      <c r="S20" s="56"/>
      <c r="T20" s="56"/>
      <c r="U20" s="56"/>
      <c r="V20"/>
      <c r="W20" s="56"/>
      <c r="X20" s="56"/>
      <c r="Y20" s="56"/>
      <c r="Z20" s="56"/>
      <c r="AA20"/>
      <c r="AB20" s="56"/>
      <c r="AC20" s="56"/>
      <c r="AD20" s="56"/>
      <c r="AE20" s="56"/>
      <c r="AF20"/>
      <c r="AG20" s="56"/>
      <c r="AH20" s="56"/>
      <c r="AI20" s="56"/>
      <c r="AJ20" s="56"/>
      <c r="AL20" s="56"/>
      <c r="AM20" s="56"/>
      <c r="AN20" s="56"/>
      <c r="AO20" s="56"/>
      <c r="AP20" s="56"/>
      <c r="AR20" s="56"/>
      <c r="AS20" s="56"/>
      <c r="AT20" s="56"/>
    </row>
    <row r="21" spans="3:46" ht="354" customHeight="1" x14ac:dyDescent="0.55000000000000004">
      <c r="C21" s="60" t="s">
        <v>257</v>
      </c>
      <c r="D21" s="54"/>
      <c r="E21" s="55" t="str">
        <f>Taxonomy!D18</f>
        <v>no</v>
      </c>
      <c r="F21" s="55" t="str">
        <f>Taxonomy!E18</f>
        <v>no</v>
      </c>
      <c r="G21" s="55" t="str">
        <f>Taxonomy!F18</f>
        <v>no</v>
      </c>
      <c r="H21" s="55" t="str">
        <f>Taxonomy!G18</f>
        <v>no</v>
      </c>
      <c r="I21" s="55" t="str">
        <f>Taxonomy!H18</f>
        <v>no</v>
      </c>
      <c r="J21" s="55" t="str">
        <f>Taxonomy!I18</f>
        <v>✗</v>
      </c>
      <c r="K21" s="55" t="str">
        <f>Taxonomy!J18</f>
        <v>✗</v>
      </c>
      <c r="L21"/>
      <c r="M21" s="55" t="str">
        <f>Taxonomy!L18</f>
        <v>no</v>
      </c>
      <c r="N21" s="55" t="str">
        <f>Taxonomy!M18</f>
        <v>no</v>
      </c>
      <c r="O21" s="55" t="str">
        <f>Taxonomy!N18</f>
        <v>✗ (TDP) Through PowerAPI</v>
      </c>
      <c r="P21" s="55" t="str">
        <f>Taxonomy!O18</f>
        <v>1) Time Markers : JVM byte code  instrumentation /
2) Call stack</v>
      </c>
      <c r="Q21"/>
      <c r="R21" s="55" t="str">
        <f>Taxonomy!Q18</f>
        <v>no</v>
      </c>
      <c r="S21" s="55" t="str">
        <f>Taxonomy!R18</f>
        <v>no</v>
      </c>
      <c r="T21" s="55" t="str">
        <f>Taxonomy!S18</f>
        <v>no</v>
      </c>
      <c r="U21" s="55" t="str">
        <f>Taxonomy!T18</f>
        <v>no</v>
      </c>
      <c r="V21"/>
      <c r="W21" s="55" t="str">
        <f>Taxonomy!V18</f>
        <v>no</v>
      </c>
      <c r="X21" s="55" t="str">
        <f>Taxonomy!W18</f>
        <v>no</v>
      </c>
      <c r="Y21" s="55" t="str">
        <f>Taxonomy!X18</f>
        <v>no</v>
      </c>
      <c r="Z21" s="55" t="str">
        <f>Taxonomy!Y18</f>
        <v>no</v>
      </c>
      <c r="AA21"/>
      <c r="AB21" s="55" t="str">
        <f>Taxonomy!AA18</f>
        <v>no</v>
      </c>
      <c r="AC21" s="55" t="str">
        <f>Taxonomy!AB18</f>
        <v>no</v>
      </c>
      <c r="AD21" s="55" t="str">
        <f>Taxonomy!AC18</f>
        <v>✗(Through PowerAPI)</v>
      </c>
      <c r="AE21" s="55" t="str">
        <f>Taxonomy!AD18</f>
        <v xml:space="preserve"> getInputStream()  getOutputStream() calls</v>
      </c>
      <c r="AF21"/>
      <c r="AG21" s="55" t="str">
        <f>Taxonomy!AF18</f>
        <v>no</v>
      </c>
      <c r="AH21" s="55" t="str">
        <f>Taxonomy!AG18</f>
        <v>no</v>
      </c>
      <c r="AI21" s="55" t="str">
        <f>Taxonomy!AH18</f>
        <v>no</v>
      </c>
      <c r="AJ21" s="55" t="str">
        <f>Taxonomy!AI18</f>
        <v>no</v>
      </c>
      <c r="AL21" s="55" t="str">
        <f>Taxonomy!AK18</f>
        <v>✗ (For NIC)</v>
      </c>
      <c r="AM21" s="55" t="str">
        <f>Taxonomy!AL18</f>
        <v>no</v>
      </c>
      <c r="AN21" s="55" t="str">
        <f>Taxonomy!AM18</f>
        <v>✗(for CPU : call-stack sampling version)</v>
      </c>
      <c r="AO21" s="55" t="str">
        <f>Taxonomy!AN18</f>
        <v>✗ (for CPU : bytecode instrumentation version)</v>
      </c>
      <c r="AP21" s="55" t="str">
        <f>Taxonomy!AO18</f>
        <v>no</v>
      </c>
      <c r="AR21" s="55" t="str">
        <f>Taxonomy!AQ18</f>
        <v>no</v>
      </c>
      <c r="AS21" s="55" t="str">
        <f>Taxonomy!AR18</f>
        <v>no</v>
      </c>
      <c r="AT21" s="55" t="str">
        <f>Taxonomy!AS18</f>
        <v>no</v>
      </c>
    </row>
    <row r="22" spans="3:46" ht="409.5" customHeight="1" x14ac:dyDescent="0.55000000000000004">
      <c r="C22" s="58" t="s">
        <v>214</v>
      </c>
      <c r="D22" s="54"/>
      <c r="E22" s="55" t="str">
        <f>Taxonomy!D19</f>
        <v>no</v>
      </c>
      <c r="F22" s="55" t="str">
        <f>Taxonomy!E19</f>
        <v>no</v>
      </c>
      <c r="G22" s="55" t="str">
        <f>Taxonomy!F19</f>
        <v>no</v>
      </c>
      <c r="H22" s="55" t="str">
        <f>Taxonomy!G19</f>
        <v>no</v>
      </c>
      <c r="I22" s="55" t="str">
        <f>Taxonomy!H19</f>
        <v>no</v>
      </c>
      <c r="J22" s="55" t="str">
        <f>Taxonomy!I19</f>
        <v>✗</v>
      </c>
      <c r="K22" s="55" t="str">
        <f>Taxonomy!J19</f>
        <v>✗</v>
      </c>
      <c r="L22"/>
      <c r="M22" s="55" t="str">
        <f>Taxonomy!L19</f>
        <v>no</v>
      </c>
      <c r="N22" s="55" t="str">
        <f>Taxonomy!M19</f>
        <v>✗ (RAPL through powercap)</v>
      </c>
      <c r="O22" s="55" t="str">
        <f>Taxonomy!N19</f>
        <v>no</v>
      </c>
      <c r="P22" s="55" t="str">
        <f>Taxonomy!O19</f>
        <v>1) OS-provided PID CPU %  for Java Threads through JVM instrumentation
2) Call Stack</v>
      </c>
      <c r="Q22"/>
      <c r="R22" s="55" t="str">
        <f>Taxonomy!Q19</f>
        <v>no</v>
      </c>
      <c r="S22" s="55" t="str">
        <f>Taxonomy!R19</f>
        <v>✗(RAPL) Through Power Joular</v>
      </c>
      <c r="T22" s="55" t="str">
        <f>Taxonomy!S19</f>
        <v>no</v>
      </c>
      <c r="U22" s="55" t="str">
        <f>Taxonomy!T19</f>
        <v>1) OS-provided PID CPU % for Java Threads through JVM instrumentation
2) Statistical sampling of thread stack trace</v>
      </c>
      <c r="V22"/>
      <c r="W22" s="55" t="str">
        <f>Taxonomy!V19</f>
        <v>no</v>
      </c>
      <c r="X22" s="55" t="str">
        <f>Taxonomy!W19</f>
        <v>✗(NVIDIA SMI) (computers and servers through Power Joular</v>
      </c>
      <c r="Y22" s="55" t="str">
        <f>Taxonomy!X19</f>
        <v>no</v>
      </c>
      <c r="Z22" s="55" t="str">
        <f>Taxonomy!Y19</f>
        <v>1) OS-provided PID CPU % for Java Threads through JVM instrumentation
2) Statistical sampling of thread stack trace</v>
      </c>
      <c r="AA22"/>
      <c r="AB22" s="55" t="str">
        <f>Taxonomy!AA19</f>
        <v>no</v>
      </c>
      <c r="AC22" s="55" t="str">
        <f>Taxonomy!AB19</f>
        <v>no</v>
      </c>
      <c r="AD22" s="55" t="str">
        <f>Taxonomy!AC19</f>
        <v>no</v>
      </c>
      <c r="AE22" s="55" t="str">
        <f>Taxonomy!AD19</f>
        <v>no</v>
      </c>
      <c r="AF22"/>
      <c r="AG22" s="55" t="str">
        <f>Taxonomy!AF19</f>
        <v>no</v>
      </c>
      <c r="AH22" s="55" t="str">
        <f>Taxonomy!AG19</f>
        <v>no</v>
      </c>
      <c r="AI22" s="55" t="str">
        <f>Taxonomy!AH19</f>
        <v>polynomial regression For Rasberry Pi</v>
      </c>
      <c r="AJ22" s="55" t="str">
        <f>Taxonomy!AI19</f>
        <v>1) OS-provided PID CPU % for Java Threads through JVM instrumentation
2) Statistical sampling of thread stack trace</v>
      </c>
      <c r="AL22" s="55" t="str">
        <f>Taxonomy!AK19</f>
        <v>✗(for threads)</v>
      </c>
      <c r="AM22" s="55" t="str">
        <f>Taxonomy!AL19</f>
        <v>no</v>
      </c>
      <c r="AN22" s="55" t="str">
        <f>Taxonomy!AM19</f>
        <v>✗</v>
      </c>
      <c r="AO22" s="55" t="str">
        <f>Taxonomy!AN19</f>
        <v>no</v>
      </c>
      <c r="AP22" s="55" t="str">
        <f>Taxonomy!AO19</f>
        <v>no</v>
      </c>
      <c r="AR22" s="55" t="str">
        <f>Taxonomy!AQ19</f>
        <v>no</v>
      </c>
      <c r="AS22" s="55" t="str">
        <f>Taxonomy!AR19</f>
        <v>no</v>
      </c>
      <c r="AT22" s="55" t="str">
        <f>Taxonomy!AS19</f>
        <v>Uses PowerJoular</v>
      </c>
    </row>
    <row r="23" spans="3:46" ht="409" customHeight="1" x14ac:dyDescent="0.55000000000000004">
      <c r="C23" s="58" t="s">
        <v>187</v>
      </c>
      <c r="D23" s="54"/>
      <c r="E23" s="55" t="str">
        <f>Taxonomy!D20</f>
        <v>✗</v>
      </c>
      <c r="F23" s="55" t="str">
        <f>Taxonomy!E20</f>
        <v>no</v>
      </c>
      <c r="G23" s="55" t="str">
        <f>Taxonomy!F20</f>
        <v>no</v>
      </c>
      <c r="H23" s="55" t="str">
        <f>Taxonomy!G20</f>
        <v>✗</v>
      </c>
      <c r="I23" s="55" t="str">
        <f>Taxonomy!H20</f>
        <v>✗</v>
      </c>
      <c r="J23" s="55" t="str">
        <f>Taxonomy!I20</f>
        <v>✗</v>
      </c>
      <c r="K23" s="55" t="str">
        <f>Taxonomy!J20</f>
        <v>✗</v>
      </c>
      <c r="L23"/>
      <c r="M23" s="55" t="str">
        <f>Taxonomy!L20</f>
        <v>no</v>
      </c>
      <c r="N23" s="55" t="str">
        <f>Taxonomy!M20</f>
        <v>✗ (RAPL throush PAPI)</v>
      </c>
      <c r="O23" s="55" t="str">
        <f>Taxonomy!N20</f>
        <v>no</v>
      </c>
      <c r="P23" s="55" t="str">
        <f>Taxonomy!O20</f>
        <v>Call stack</v>
      </c>
      <c r="Q23"/>
      <c r="R23" s="55" t="str">
        <f>Taxonomy!Q20</f>
        <v>no</v>
      </c>
      <c r="S23" s="55" t="str">
        <f>Taxonomy!R20</f>
        <v>✗(RAPL)</v>
      </c>
      <c r="T23" s="55" t="str">
        <f>Taxonomy!S20</f>
        <v>no</v>
      </c>
      <c r="U23" s="55" t="str">
        <f>Taxonomy!T20</f>
        <v>Call stack sampling</v>
      </c>
      <c r="V23"/>
      <c r="W23" s="55" t="str">
        <f>Taxonomy!V20</f>
        <v>no</v>
      </c>
      <c r="X23" s="55" t="str">
        <f>Taxonomy!W20</f>
        <v>no</v>
      </c>
      <c r="Y23" s="55" t="str">
        <f>Taxonomy!X20</f>
        <v>no</v>
      </c>
      <c r="Z23" s="55" t="str">
        <f>Taxonomy!Y20</f>
        <v>no</v>
      </c>
      <c r="AA23"/>
      <c r="AB23" s="55" t="str">
        <f>Taxonomy!AA20</f>
        <v>no</v>
      </c>
      <c r="AC23" s="55" t="str">
        <f>Taxonomy!AB20</f>
        <v>no</v>
      </c>
      <c r="AD23" s="55" t="str">
        <f>Taxonomy!AC20</f>
        <v>no</v>
      </c>
      <c r="AE23" s="55" t="str">
        <f>Taxonomy!AD20</f>
        <v>no</v>
      </c>
      <c r="AF23"/>
      <c r="AG23" s="55" t="str">
        <f>Taxonomy!AF20</f>
        <v>no</v>
      </c>
      <c r="AH23" s="55" t="str">
        <f>Taxonomy!AG20</f>
        <v>✗ (RAPL throush PAPI)</v>
      </c>
      <c r="AI23" s="55" t="str">
        <f>Taxonomy!AH20</f>
        <v>no</v>
      </c>
      <c r="AJ23" s="55" t="str">
        <f>Taxonomy!AI20</f>
        <v>Call stack sampling</v>
      </c>
      <c r="AL23" s="55" t="str">
        <f>Taxonomy!AK20</f>
        <v>no</v>
      </c>
      <c r="AM23" s="55" t="str">
        <f>Taxonomy!AL20</f>
        <v>no</v>
      </c>
      <c r="AN23" s="55" t="str">
        <f>Taxonomy!AM20</f>
        <v>✗(1) Allocate all RAPL system energy to process it is attached to
2) Statistical Sampling (stack trace) to allocate energy to functions)</v>
      </c>
      <c r="AO23" s="55" t="str">
        <f>Taxonomy!AN20</f>
        <v>no</v>
      </c>
      <c r="AP23" s="55" t="str">
        <f>Taxonomy!AO20</f>
        <v>no</v>
      </c>
      <c r="AR23" s="55" t="str">
        <f>Taxonomy!AQ20</f>
        <v>no</v>
      </c>
      <c r="AS23" s="55" t="str">
        <f>Taxonomy!AR20</f>
        <v>no</v>
      </c>
      <c r="AT23" s="55" t="str">
        <f>Taxonomy!AS20</f>
        <v>no</v>
      </c>
    </row>
    <row r="24" spans="3:46" ht="377" customHeight="1" x14ac:dyDescent="0.55000000000000004">
      <c r="C24" s="58" t="s">
        <v>38</v>
      </c>
      <c r="D24" s="54"/>
      <c r="E24" s="55" t="str">
        <f>Taxonomy!D21</f>
        <v>no</v>
      </c>
      <c r="F24" s="55" t="str">
        <f>Taxonomy!E21</f>
        <v>no</v>
      </c>
      <c r="G24" s="55" t="str">
        <f>Taxonomy!F21</f>
        <v>no</v>
      </c>
      <c r="H24" s="55" t="str">
        <f>Taxonomy!G21</f>
        <v>no</v>
      </c>
      <c r="I24" s="55" t="str">
        <f>Taxonomy!H21</f>
        <v>no</v>
      </c>
      <c r="J24" s="55" t="str">
        <f>Taxonomy!I21</f>
        <v>no</v>
      </c>
      <c r="K24" s="55" t="str">
        <f>Taxonomy!J21</f>
        <v>✗</v>
      </c>
      <c r="L24"/>
      <c r="M24" s="55" t="str">
        <f>Taxonomy!L21</f>
        <v>no</v>
      </c>
      <c r="N24" s="55" t="str">
        <f>Taxonomy!M21</f>
        <v>✗ (RAPL through linux  MSR kernel module)</v>
      </c>
      <c r="O24" s="55" t="str">
        <f>Taxonomy!N21</f>
        <v>no</v>
      </c>
      <c r="P24" s="55" t="str">
        <f>Taxonomy!O21</f>
        <v>Time Markers</v>
      </c>
      <c r="Q24"/>
      <c r="R24" s="55" t="str">
        <f>Taxonomy!Q21</f>
        <v>no</v>
      </c>
      <c r="S24" s="55" t="str">
        <f>Taxonomy!R21</f>
        <v>✗ (RAPL through linux  MSR kernel module)</v>
      </c>
      <c r="T24" s="55" t="str">
        <f>Taxonomy!S21</f>
        <v>no</v>
      </c>
      <c r="U24" s="55" t="str">
        <f>Taxonomy!T21</f>
        <v>Time Markers</v>
      </c>
      <c r="V24"/>
      <c r="W24" s="55" t="str">
        <f>Taxonomy!V21</f>
        <v>no</v>
      </c>
      <c r="X24" s="55" t="str">
        <f>Taxonomy!W21</f>
        <v>no</v>
      </c>
      <c r="Y24" s="55" t="str">
        <f>Taxonomy!X21</f>
        <v>no</v>
      </c>
      <c r="Z24" s="55" t="str">
        <f>Taxonomy!Y21</f>
        <v>no</v>
      </c>
      <c r="AA24"/>
      <c r="AB24" s="55" t="str">
        <f>Taxonomy!AA21</f>
        <v>no</v>
      </c>
      <c r="AC24" s="55" t="str">
        <f>Taxonomy!AB21</f>
        <v>no</v>
      </c>
      <c r="AD24" s="55" t="str">
        <f>Taxonomy!AC21</f>
        <v>no</v>
      </c>
      <c r="AE24" s="55" t="str">
        <f>Taxonomy!AD21</f>
        <v>no</v>
      </c>
      <c r="AF24"/>
      <c r="AG24" s="55" t="str">
        <f>Taxonomy!AF21</f>
        <v>no</v>
      </c>
      <c r="AH24" s="55" t="str">
        <f>Taxonomy!AG21</f>
        <v>✗ (RAPL through linux  MSR kernel module)</v>
      </c>
      <c r="AI24" s="55" t="str">
        <f>Taxonomy!AH21</f>
        <v>no</v>
      </c>
      <c r="AJ24" s="55" t="str">
        <f>Taxonomy!AI21</f>
        <v>Time Markers</v>
      </c>
      <c r="AL24" s="55" t="str">
        <f>Taxonomy!AK21</f>
        <v>no</v>
      </c>
      <c r="AM24" s="55" t="str">
        <f>Taxonomy!AL21</f>
        <v>no</v>
      </c>
      <c r="AN24" s="55" t="str">
        <f>Taxonomy!AM21</f>
        <v>no</v>
      </c>
      <c r="AO24" s="55" t="str">
        <f>Taxonomy!AN21</f>
        <v>✗</v>
      </c>
      <c r="AP24" s="55" t="str">
        <f>Taxonomy!AO21</f>
        <v>no</v>
      </c>
      <c r="AR24" s="55" t="str">
        <f>Taxonomy!AQ21</f>
        <v>no</v>
      </c>
      <c r="AS24" s="55" t="str">
        <f>Taxonomy!AR21</f>
        <v>no</v>
      </c>
      <c r="AT24" s="55" t="str">
        <f>Taxonomy!AS21</f>
        <v>no</v>
      </c>
    </row>
    <row r="49" ht="30" customHeight="1" x14ac:dyDescent="0.2"/>
  </sheetData>
  <mergeCells count="36">
    <mergeCell ref="I7:I9"/>
    <mergeCell ref="J7:J9"/>
    <mergeCell ref="E7:E9"/>
    <mergeCell ref="F7:F9"/>
    <mergeCell ref="G7:G9"/>
    <mergeCell ref="H7:H9"/>
    <mergeCell ref="C6:C9"/>
    <mergeCell ref="E6:K6"/>
    <mergeCell ref="M6:AJ6"/>
    <mergeCell ref="AL6:AP6"/>
    <mergeCell ref="AR6:AT6"/>
    <mergeCell ref="K7:K9"/>
    <mergeCell ref="M7:P7"/>
    <mergeCell ref="R7:U7"/>
    <mergeCell ref="W7:Z7"/>
    <mergeCell ref="AB7:AE7"/>
    <mergeCell ref="AB8:AD8"/>
    <mergeCell ref="AE8:AE9"/>
    <mergeCell ref="AG8:AI8"/>
    <mergeCell ref="AR7:AR9"/>
    <mergeCell ref="AS7:AS9"/>
    <mergeCell ref="AL8:AL9"/>
    <mergeCell ref="AT7:AT9"/>
    <mergeCell ref="M8:O8"/>
    <mergeCell ref="P8:P9"/>
    <mergeCell ref="R8:T8"/>
    <mergeCell ref="U8:U9"/>
    <mergeCell ref="W8:Y8"/>
    <mergeCell ref="Z8:Z9"/>
    <mergeCell ref="AM8:AM9"/>
    <mergeCell ref="AN8:AN9"/>
    <mergeCell ref="AJ8:AJ9"/>
    <mergeCell ref="AO8:AO9"/>
    <mergeCell ref="AG7:AJ7"/>
    <mergeCell ref="AL7:AO7"/>
    <mergeCell ref="AP7:AP9"/>
  </mergeCells>
  <conditionalFormatting sqref="E11:K14 M11:P24 R11:U24 W11:Z24 AB11:AE24 AG11:AJ24 AL11:AP24 AR11:AT24 F15:K15 E16:K19 F20:K20 E21:K24">
    <cfRule type="beginsWith" dxfId="9" priority="1" stopIfTrue="1" operator="beginsWith" text="no">
      <formula>LEFT(E11,LEN("no"))="no"</formula>
    </cfRule>
    <cfRule type="notContainsBlanks" dxfId="8" priority="7" stopIfTrue="1">
      <formula>LEN(TRIM(E11))&gt;0</formula>
    </cfRule>
  </conditionalFormatting>
  <pageMargins left="0.7" right="0.7" top="0.75" bottom="0.75" header="0.3" footer="0.3"/>
  <pageSetup paperSize="9" scale="10"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31D4-EE51-A041-997A-CEA9B4B3628E}">
  <sheetPr>
    <pageSetUpPr fitToPage="1"/>
  </sheetPr>
  <dimension ref="C6:BM75"/>
  <sheetViews>
    <sheetView showGridLines="0" zoomScale="50" zoomScaleNormal="43" zoomScalePageLayoutView="14" workbookViewId="0">
      <selection activeCell="G4" sqref="G4"/>
    </sheetView>
  </sheetViews>
  <sheetFormatPr baseColWidth="10" defaultRowHeight="15" x14ac:dyDescent="0.2"/>
  <cols>
    <col min="1" max="2" width="10.83203125" style="49"/>
    <col min="3" max="3" width="20.83203125" style="49" customWidth="1"/>
    <col min="4" max="4" width="7" style="49" customWidth="1"/>
    <col min="5" max="5" width="6.5" style="49" customWidth="1"/>
    <col min="6" max="6" width="7.5" style="49" customWidth="1"/>
    <col min="7" max="7" width="11.33203125" style="49" customWidth="1"/>
    <col min="8" max="8" width="1.83203125" customWidth="1"/>
    <col min="9" max="12" width="25.83203125" style="49" customWidth="1"/>
    <col min="13" max="13" width="1.83203125" customWidth="1"/>
    <col min="14" max="17" width="25.83203125" style="49" customWidth="1"/>
    <col min="18" max="18" width="1.83203125" customWidth="1"/>
    <col min="19" max="22" width="25.83203125" style="49" customWidth="1"/>
    <col min="23" max="23" width="22.6640625" style="49" customWidth="1"/>
    <col min="24" max="24" width="14.83203125" style="49" customWidth="1"/>
    <col min="25" max="25" width="19.5" style="49" customWidth="1"/>
    <col min="26" max="26" width="46.5" style="49" customWidth="1"/>
    <col min="27" max="27" width="5.83203125" style="49" customWidth="1"/>
    <col min="28" max="28" width="20.83203125" style="49" customWidth="1"/>
    <col min="29" max="29" width="28.5" style="49" customWidth="1"/>
    <col min="30" max="30" width="20.83203125" style="49" customWidth="1"/>
    <col min="31" max="31" width="41.1640625" style="49" customWidth="1"/>
    <col min="32" max="32" width="5.83203125" style="49" customWidth="1"/>
    <col min="33" max="33" width="23.33203125" style="49" customWidth="1"/>
    <col min="34" max="34" width="28" style="49" customWidth="1"/>
    <col min="35" max="35" width="42.1640625" style="49" customWidth="1"/>
    <col min="36" max="36" width="50" style="49" customWidth="1"/>
    <col min="37" max="37" width="5.83203125" customWidth="1"/>
    <col min="38" max="38" width="24" style="49" customWidth="1"/>
    <col min="39" max="39" width="27" style="49" customWidth="1"/>
    <col min="40" max="40" width="56" style="49" customWidth="1"/>
    <col min="41" max="41" width="26.1640625" style="49" bestFit="1" customWidth="1"/>
    <col min="42" max="42" width="33.33203125" style="49" customWidth="1"/>
    <col min="43" max="43" width="5.83203125" customWidth="1"/>
    <col min="44" max="44" width="45" style="49" customWidth="1"/>
    <col min="45" max="45" width="57.83203125" style="49" customWidth="1"/>
    <col min="46" max="46" width="35.1640625" style="49" customWidth="1"/>
    <col min="47" max="16384" width="10.83203125" style="49"/>
  </cols>
  <sheetData>
    <row r="6" spans="4:61" x14ac:dyDescent="0.2">
      <c r="D6" s="54"/>
    </row>
    <row r="7" spans="4:61" x14ac:dyDescent="0.2">
      <c r="D7" s="54"/>
    </row>
    <row r="8" spans="4:61" x14ac:dyDescent="0.2">
      <c r="D8" s="54"/>
    </row>
    <row r="9" spans="4:61" ht="44" x14ac:dyDescent="0.25">
      <c r="D9" s="86" t="s">
        <v>367</v>
      </c>
      <c r="E9" s="86"/>
      <c r="F9" s="86"/>
      <c r="G9" s="86"/>
      <c r="H9" s="71"/>
      <c r="I9" s="72" t="s">
        <v>28</v>
      </c>
      <c r="J9" s="73" t="s">
        <v>365</v>
      </c>
      <c r="K9" s="73" t="s">
        <v>366</v>
      </c>
      <c r="L9" s="72" t="s">
        <v>23</v>
      </c>
      <c r="M9" s="71"/>
      <c r="N9" s="72" t="s">
        <v>256</v>
      </c>
      <c r="O9" s="72" t="s">
        <v>40</v>
      </c>
      <c r="P9" s="72" t="s">
        <v>44</v>
      </c>
      <c r="Q9" s="72" t="s">
        <v>206</v>
      </c>
      <c r="R9" s="71"/>
      <c r="S9" s="73" t="s">
        <v>257</v>
      </c>
      <c r="T9" s="73" t="s">
        <v>214</v>
      </c>
      <c r="U9" s="73" t="s">
        <v>187</v>
      </c>
      <c r="V9" s="73" t="s">
        <v>38</v>
      </c>
      <c r="W9"/>
      <c r="X9"/>
      <c r="AM9"/>
      <c r="AN9"/>
      <c r="AO9"/>
      <c r="AP9"/>
      <c r="AR9"/>
      <c r="AS9"/>
      <c r="AT9"/>
      <c r="AU9"/>
      <c r="BI9"/>
    </row>
    <row r="10" spans="4:61" customFormat="1" x14ac:dyDescent="0.2"/>
    <row r="11" spans="4:61" ht="22" x14ac:dyDescent="0.25">
      <c r="D11" s="87" t="s">
        <v>3</v>
      </c>
      <c r="E11" s="79" t="s">
        <v>284</v>
      </c>
      <c r="F11" s="79"/>
      <c r="G11" s="79"/>
      <c r="I11" s="77" t="str">
        <f>Taxonomy!D7</f>
        <v>✗</v>
      </c>
      <c r="J11" s="77" t="str">
        <f>Taxonomy!D8</f>
        <v>✗</v>
      </c>
      <c r="K11" s="77" t="str">
        <f>Taxonomy!D9</f>
        <v>✗</v>
      </c>
      <c r="L11" s="77" t="str">
        <f>Taxonomy!D10</f>
        <v>no</v>
      </c>
      <c r="M11" s="71"/>
      <c r="N11" s="77" t="str">
        <f>Taxonomy!D13</f>
        <v>no</v>
      </c>
      <c r="O11" s="77" t="str">
        <f>Taxonomy!D14</f>
        <v>no</v>
      </c>
      <c r="P11" s="77" t="str">
        <f>Taxonomy!D15</f>
        <v>✗</v>
      </c>
      <c r="Q11" s="77" t="str">
        <f>Taxonomy!D16</f>
        <v>✗</v>
      </c>
      <c r="R11" s="71"/>
      <c r="S11" s="77" t="str">
        <f>Taxonomy!D18</f>
        <v>no</v>
      </c>
      <c r="T11" s="77" t="str">
        <f>Taxonomy!D19</f>
        <v>no</v>
      </c>
      <c r="U11" s="77" t="str">
        <f>Taxonomy!D20</f>
        <v>✗</v>
      </c>
      <c r="V11" s="77" t="str">
        <f>Taxonomy!D21</f>
        <v>no</v>
      </c>
      <c r="W11"/>
      <c r="X11"/>
      <c r="AM11"/>
      <c r="AN11"/>
      <c r="AO11"/>
      <c r="AP11"/>
      <c r="AR11"/>
      <c r="AS11"/>
      <c r="AT11"/>
      <c r="AU11"/>
    </row>
    <row r="12" spans="4:61" ht="22" x14ac:dyDescent="0.25">
      <c r="D12" s="87"/>
      <c r="E12" s="79" t="s">
        <v>251</v>
      </c>
      <c r="F12" s="79"/>
      <c r="G12" s="79"/>
      <c r="I12" s="77" t="str">
        <f>Taxonomy!E7</f>
        <v>✗</v>
      </c>
      <c r="J12" s="77" t="str">
        <f>Taxonomy!E8</f>
        <v>✗</v>
      </c>
      <c r="K12" s="77" t="str">
        <f>Taxonomy!E9</f>
        <v>✗</v>
      </c>
      <c r="L12" s="77" t="str">
        <f>Taxonomy!E10</f>
        <v>no</v>
      </c>
      <c r="M12" s="71"/>
      <c r="N12" s="77" t="str">
        <f>Taxonomy!E13</f>
        <v>no</v>
      </c>
      <c r="O12" s="77" t="str">
        <f>Taxonomy!E14</f>
        <v>no</v>
      </c>
      <c r="P12" s="77" t="str">
        <f>Taxonomy!E15</f>
        <v>no</v>
      </c>
      <c r="Q12" s="77" t="str">
        <f>Taxonomy!E16</f>
        <v>no</v>
      </c>
      <c r="R12" s="71"/>
      <c r="S12" s="77" t="str">
        <f>Taxonomy!E18</f>
        <v>no</v>
      </c>
      <c r="T12" s="77" t="str">
        <f>Taxonomy!E19</f>
        <v>no</v>
      </c>
      <c r="U12" s="77" t="str">
        <f>Taxonomy!E20</f>
        <v>no</v>
      </c>
      <c r="V12" s="77" t="str">
        <f>Taxonomy!E21</f>
        <v>no</v>
      </c>
      <c r="W12"/>
      <c r="X12"/>
      <c r="AM12"/>
      <c r="AN12"/>
      <c r="AO12"/>
      <c r="AP12"/>
      <c r="AR12"/>
      <c r="AS12"/>
      <c r="AT12"/>
      <c r="AU12"/>
    </row>
    <row r="13" spans="4:61" ht="22" x14ac:dyDescent="0.25">
      <c r="D13" s="87"/>
      <c r="E13" s="79" t="s">
        <v>252</v>
      </c>
      <c r="F13" s="79"/>
      <c r="G13" s="79"/>
      <c r="I13" s="77" t="str">
        <f>Taxonomy!F7</f>
        <v>✗</v>
      </c>
      <c r="J13" s="77" t="str">
        <f>Taxonomy!F8</f>
        <v>✗</v>
      </c>
      <c r="K13" s="77" t="str">
        <f>Taxonomy!F9</f>
        <v>✗</v>
      </c>
      <c r="L13" s="77" t="str">
        <f>Taxonomy!F10</f>
        <v>✗</v>
      </c>
      <c r="M13" s="71"/>
      <c r="N13" s="77" t="str">
        <f>Taxonomy!F13</f>
        <v>no</v>
      </c>
      <c r="O13" s="77" t="str">
        <f>Taxonomy!F14</f>
        <v>no</v>
      </c>
      <c r="P13" s="77" t="str">
        <f>Taxonomy!F15</f>
        <v>no</v>
      </c>
      <c r="Q13" s="77" t="str">
        <f>Taxonomy!F16</f>
        <v>no</v>
      </c>
      <c r="R13" s="71"/>
      <c r="S13" s="77" t="str">
        <f>Taxonomy!F18</f>
        <v>no</v>
      </c>
      <c r="T13" s="77" t="str">
        <f>Taxonomy!F19</f>
        <v>no</v>
      </c>
      <c r="U13" s="77" t="str">
        <f>Taxonomy!F20</f>
        <v>no</v>
      </c>
      <c r="V13" s="77" t="str">
        <f>Taxonomy!F21</f>
        <v>no</v>
      </c>
      <c r="W13"/>
      <c r="X13"/>
      <c r="AM13"/>
      <c r="AN13"/>
      <c r="AO13"/>
      <c r="AP13"/>
      <c r="AR13"/>
      <c r="AS13"/>
      <c r="AT13"/>
      <c r="AU13"/>
    </row>
    <row r="14" spans="4:61" ht="22" x14ac:dyDescent="0.25">
      <c r="D14" s="87"/>
      <c r="E14" s="79" t="s">
        <v>283</v>
      </c>
      <c r="F14" s="79"/>
      <c r="G14" s="79"/>
      <c r="I14" s="77" t="str">
        <f>Taxonomy!G7</f>
        <v>✗</v>
      </c>
      <c r="J14" s="77" t="str">
        <f>Taxonomy!G8</f>
        <v>✗</v>
      </c>
      <c r="K14" s="77" t="str">
        <f>Taxonomy!G9</f>
        <v>✗</v>
      </c>
      <c r="L14" s="77" t="str">
        <f>Taxonomy!G10</f>
        <v>no</v>
      </c>
      <c r="M14" s="71"/>
      <c r="N14" s="77" t="str">
        <f>Taxonomy!G13</f>
        <v>no</v>
      </c>
      <c r="O14" s="77" t="str">
        <f>Taxonomy!G14</f>
        <v>no</v>
      </c>
      <c r="P14" s="77" t="str">
        <f>Taxonomy!G15</f>
        <v>✗</v>
      </c>
      <c r="Q14" s="77" t="str">
        <f>Taxonomy!G16</f>
        <v>✗</v>
      </c>
      <c r="R14" s="71"/>
      <c r="S14" s="77" t="str">
        <f>Taxonomy!G18</f>
        <v>no</v>
      </c>
      <c r="T14" s="77" t="str">
        <f>Taxonomy!G19</f>
        <v>no</v>
      </c>
      <c r="U14" s="77" t="str">
        <f>Taxonomy!G20</f>
        <v>✗</v>
      </c>
      <c r="V14" s="77" t="str">
        <f>Taxonomy!G21</f>
        <v>no</v>
      </c>
      <c r="W14"/>
      <c r="X14"/>
      <c r="AM14"/>
      <c r="AN14"/>
      <c r="AO14"/>
      <c r="AP14"/>
      <c r="AR14"/>
      <c r="AS14"/>
      <c r="AT14"/>
      <c r="AU14"/>
    </row>
    <row r="15" spans="4:61" ht="22" x14ac:dyDescent="0.25">
      <c r="D15" s="87"/>
      <c r="E15" s="79" t="s">
        <v>253</v>
      </c>
      <c r="F15" s="79"/>
      <c r="G15" s="79"/>
      <c r="I15" s="77" t="str">
        <f>Taxonomy!H7</f>
        <v>✗</v>
      </c>
      <c r="J15" s="77" t="str">
        <f>Taxonomy!H8</f>
        <v>✗</v>
      </c>
      <c r="K15" s="77" t="str">
        <f>Taxonomy!H9</f>
        <v>✗</v>
      </c>
      <c r="L15" s="77" t="str">
        <f>Taxonomy!H10</f>
        <v>no</v>
      </c>
      <c r="M15" s="71"/>
      <c r="N15" s="77" t="str">
        <f>Taxonomy!H13</f>
        <v>✗</v>
      </c>
      <c r="O15" s="77" t="str">
        <f>Taxonomy!H14</f>
        <v>✗</v>
      </c>
      <c r="P15" s="77" t="str">
        <f>Taxonomy!H15</f>
        <v>✗</v>
      </c>
      <c r="Q15" s="77" t="str">
        <f>Taxonomy!H16</f>
        <v>✗</v>
      </c>
      <c r="R15" s="71"/>
      <c r="S15" s="77" t="str">
        <f>Taxonomy!H18</f>
        <v>no</v>
      </c>
      <c r="T15" s="77" t="str">
        <f>Taxonomy!H19</f>
        <v>no</v>
      </c>
      <c r="U15" s="77" t="str">
        <f>Taxonomy!H20</f>
        <v>✗</v>
      </c>
      <c r="V15" s="77" t="str">
        <f>Taxonomy!H21</f>
        <v>no</v>
      </c>
      <c r="W15"/>
      <c r="X15"/>
      <c r="AM15"/>
      <c r="AN15"/>
      <c r="AO15"/>
      <c r="AP15"/>
      <c r="AR15"/>
      <c r="AS15"/>
      <c r="AT15"/>
      <c r="AU15"/>
    </row>
    <row r="16" spans="4:61" ht="22" x14ac:dyDescent="0.25">
      <c r="D16" s="87"/>
      <c r="E16" s="79" t="s">
        <v>254</v>
      </c>
      <c r="F16" s="79"/>
      <c r="G16" s="79"/>
      <c r="I16" s="77" t="str">
        <f>Taxonomy!I7</f>
        <v>no</v>
      </c>
      <c r="J16" s="77" t="str">
        <f>Taxonomy!I8</f>
        <v>no</v>
      </c>
      <c r="K16" s="77" t="str">
        <f>Taxonomy!I9</f>
        <v>no</v>
      </c>
      <c r="L16" s="77" t="str">
        <f>Taxonomy!I10</f>
        <v>no</v>
      </c>
      <c r="M16" s="71"/>
      <c r="N16" s="77" t="str">
        <f>Taxonomy!I13</f>
        <v>no</v>
      </c>
      <c r="O16" s="77" t="str">
        <f>Taxonomy!I14</f>
        <v>no</v>
      </c>
      <c r="P16" s="77" t="str">
        <f>Taxonomy!I15</f>
        <v>no</v>
      </c>
      <c r="Q16" s="77" t="str">
        <f>Taxonomy!I16</f>
        <v>no</v>
      </c>
      <c r="R16" s="71"/>
      <c r="S16" s="77" t="str">
        <f>Taxonomy!I18</f>
        <v>✗</v>
      </c>
      <c r="T16" s="77" t="str">
        <f>Taxonomy!I19</f>
        <v>✗</v>
      </c>
      <c r="U16" s="77" t="str">
        <f>Taxonomy!I20</f>
        <v>✗</v>
      </c>
      <c r="V16" s="77" t="str">
        <f>Taxonomy!I21</f>
        <v>no</v>
      </c>
      <c r="W16"/>
      <c r="X16"/>
      <c r="AM16"/>
      <c r="AN16"/>
      <c r="AO16"/>
      <c r="AP16"/>
      <c r="AR16"/>
      <c r="AS16"/>
      <c r="AT16"/>
      <c r="AU16"/>
    </row>
    <row r="17" spans="3:47" ht="44" x14ac:dyDescent="0.25">
      <c r="D17" s="87"/>
      <c r="E17" s="79" t="s">
        <v>338</v>
      </c>
      <c r="F17" s="79"/>
      <c r="G17" s="79"/>
      <c r="I17" s="77" t="str">
        <f>Taxonomy!J7</f>
        <v>no</v>
      </c>
      <c r="J17" s="77" t="str">
        <f>Taxonomy!J8</f>
        <v>no</v>
      </c>
      <c r="K17" s="77" t="str">
        <f>Taxonomy!J9</f>
        <v>no</v>
      </c>
      <c r="L17" s="77" t="str">
        <f>Taxonomy!J10</f>
        <v>✗(SCI functionnality)</v>
      </c>
      <c r="M17" s="71"/>
      <c r="N17" s="77" t="str">
        <f>Taxonomy!J13</f>
        <v>no</v>
      </c>
      <c r="O17" s="77" t="str">
        <f>Taxonomy!J14</f>
        <v>no</v>
      </c>
      <c r="P17" s="77" t="str">
        <f>Taxonomy!J15</f>
        <v>no</v>
      </c>
      <c r="Q17" s="77" t="str">
        <f>Taxonomy!J16</f>
        <v>no</v>
      </c>
      <c r="R17" s="71"/>
      <c r="S17" s="77" t="str">
        <f>Taxonomy!J18</f>
        <v>✗</v>
      </c>
      <c r="T17" s="77" t="str">
        <f>Taxonomy!J19</f>
        <v>✗</v>
      </c>
      <c r="U17" s="77" t="str">
        <f>Taxonomy!J20</f>
        <v>✗</v>
      </c>
      <c r="V17" s="77" t="str">
        <f>Taxonomy!J21</f>
        <v>✗</v>
      </c>
      <c r="W17"/>
      <c r="X17"/>
      <c r="AM17"/>
      <c r="AN17"/>
      <c r="AO17"/>
      <c r="AP17"/>
      <c r="AR17"/>
      <c r="AS17"/>
      <c r="AT17"/>
      <c r="AU17"/>
    </row>
    <row r="18" spans="3:47" customFormat="1" ht="21" x14ac:dyDescent="0.25">
      <c r="D18" s="70"/>
      <c r="E18" s="70"/>
      <c r="F18" s="70"/>
      <c r="G18" s="70"/>
      <c r="I18" s="71"/>
      <c r="J18" s="71"/>
      <c r="K18" s="71"/>
      <c r="L18" s="71"/>
      <c r="M18" s="71"/>
      <c r="N18" s="71"/>
      <c r="O18" s="71"/>
      <c r="P18" s="71"/>
      <c r="Q18" s="71"/>
      <c r="R18" s="71"/>
      <c r="S18" s="71"/>
      <c r="T18" s="71"/>
      <c r="U18" s="71"/>
      <c r="V18" s="71"/>
    </row>
    <row r="19" spans="3:47" ht="67" x14ac:dyDescent="0.25">
      <c r="D19" s="83" t="s">
        <v>250</v>
      </c>
      <c r="E19" s="85" t="s">
        <v>52</v>
      </c>
      <c r="F19" s="84" t="s">
        <v>307</v>
      </c>
      <c r="G19" s="74" t="s">
        <v>84</v>
      </c>
      <c r="I19" s="77" t="str">
        <f>Taxonomy!L7</f>
        <v>no</v>
      </c>
      <c r="J19" s="77" t="str">
        <f>Taxonomy!L8</f>
        <v>no</v>
      </c>
      <c r="K19" s="77" t="str">
        <f>Taxonomy!L9</f>
        <v>no</v>
      </c>
      <c r="L19" s="77" t="str">
        <f>Taxonomy!L10</f>
        <v>✗(Compatible with certain Metric Providers)</v>
      </c>
      <c r="M19" s="71"/>
      <c r="N19" s="77" t="str">
        <f>Taxonomy!L13</f>
        <v>no</v>
      </c>
      <c r="O19" s="77" t="str">
        <f>Taxonomy!L14</f>
        <v>no</v>
      </c>
      <c r="P19" s="77" t="str">
        <f>Taxonomy!L15</f>
        <v>no</v>
      </c>
      <c r="Q19" s="77" t="str">
        <f>Taxonomy!L16</f>
        <v>no</v>
      </c>
      <c r="R19" s="71"/>
      <c r="S19" s="77" t="str">
        <f>Taxonomy!L18</f>
        <v>no</v>
      </c>
      <c r="T19" s="77" t="str">
        <f>Taxonomy!L19</f>
        <v>no</v>
      </c>
      <c r="U19" s="77" t="str">
        <f>Taxonomy!L20</f>
        <v>no</v>
      </c>
      <c r="V19" s="77" t="str">
        <f>Taxonomy!L21</f>
        <v>no</v>
      </c>
      <c r="W19"/>
      <c r="X19"/>
      <c r="AM19"/>
      <c r="AN19"/>
      <c r="AO19"/>
      <c r="AP19"/>
      <c r="AR19"/>
      <c r="AS19"/>
      <c r="AT19"/>
      <c r="AU19"/>
    </row>
    <row r="20" spans="3:47" ht="127" x14ac:dyDescent="0.25">
      <c r="D20" s="83"/>
      <c r="E20" s="85"/>
      <c r="F20" s="84"/>
      <c r="G20" s="74" t="s">
        <v>85</v>
      </c>
      <c r="I20" s="77" t="str">
        <f>Taxonomy!M7</f>
        <v>no</v>
      </c>
      <c r="J20" s="77" t="str">
        <f>Taxonomy!M8</f>
        <v>✗ (RAPL)</v>
      </c>
      <c r="K20" s="77" t="str">
        <f>Taxonomy!M9</f>
        <v>✗ (RAPL)</v>
      </c>
      <c r="L20" s="77" t="str">
        <f>Taxonomy!M10</f>
        <v>✗(RAPL)</v>
      </c>
      <c r="M20" s="71"/>
      <c r="N20" s="77" t="str">
        <f>Taxonomy!M13</f>
        <v>no</v>
      </c>
      <c r="O20" s="77" t="str">
        <f>Taxonomy!M14</f>
        <v>no</v>
      </c>
      <c r="P20" s="77" t="str">
        <f>Taxonomy!M15</f>
        <v>✗ (RAPL throush powercap)</v>
      </c>
      <c r="Q20" s="77" t="str">
        <f>Taxonomy!M16</f>
        <v>✗ (RAPL (linux/windows) or powerMetrics (Mac))</v>
      </c>
      <c r="R20" s="71"/>
      <c r="S20" s="77" t="str">
        <f>Taxonomy!M18</f>
        <v>no</v>
      </c>
      <c r="T20" s="77" t="str">
        <f>Taxonomy!M19</f>
        <v>✗ (RAPL through powercap)</v>
      </c>
      <c r="U20" s="77" t="str">
        <f>Taxonomy!M20</f>
        <v>✗ (RAPL throush PAPI)</v>
      </c>
      <c r="V20" s="77" t="str">
        <f>Taxonomy!M21</f>
        <v>✗ (RAPL through linux  MSR kernel module)</v>
      </c>
      <c r="W20"/>
      <c r="X20"/>
      <c r="AM20"/>
      <c r="AN20"/>
      <c r="AO20"/>
      <c r="AP20"/>
      <c r="AR20"/>
      <c r="AS20"/>
      <c r="AT20"/>
      <c r="AU20"/>
    </row>
    <row r="21" spans="3:47" ht="154" x14ac:dyDescent="0.25">
      <c r="D21" s="83"/>
      <c r="E21" s="85"/>
      <c r="F21" s="84"/>
      <c r="G21" s="74" t="s">
        <v>86</v>
      </c>
      <c r="I21" s="77" t="str">
        <f>Taxonomy!N7</f>
        <v>no</v>
      </c>
      <c r="J21" s="77" t="str">
        <f>Taxonomy!N8</f>
        <v>✗Regression-based models for VM deployment</v>
      </c>
      <c r="K21" s="77" t="str">
        <f>Taxonomy!N9</f>
        <v>✗Regression-based 
 models for VM deployment</v>
      </c>
      <c r="L21" s="77" t="str">
        <f>Taxonomy!N10</f>
        <v xml:space="preserve">✗1) XGBoost model (TDP, Machine Specs and CPU%)
2) Analytical Model(TDP, #CPUchips and CPU %) </v>
      </c>
      <c r="M21" s="71"/>
      <c r="N21" s="77" t="str">
        <f>Taxonomy!N13</f>
        <v xml:space="preserve">✗ Linear Regression Model (HPC : "instructions", "cache references", "cache misses" </v>
      </c>
      <c r="O21" s="77" t="str">
        <f>Taxonomy!N14</f>
        <v>✗HPC vector (cycles, instructions, cache misses)</v>
      </c>
      <c r="P21" s="77" t="str">
        <f>Taxonomy!N15</f>
        <v>no</v>
      </c>
      <c r="Q21" s="77" t="str">
        <f>Taxonomy!N16</f>
        <v>no</v>
      </c>
      <c r="R21" s="71"/>
      <c r="S21" s="77" t="str">
        <f>Taxonomy!N18</f>
        <v>✗ (TDP) Through PowerAPI</v>
      </c>
      <c r="T21" s="77" t="str">
        <f>Taxonomy!N19</f>
        <v>no</v>
      </c>
      <c r="U21" s="77" t="str">
        <f>Taxonomy!N20</f>
        <v>no</v>
      </c>
      <c r="V21" s="77" t="str">
        <f>Taxonomy!N21</f>
        <v>no</v>
      </c>
      <c r="W21"/>
      <c r="X21"/>
      <c r="AM21"/>
      <c r="AN21"/>
      <c r="AO21"/>
      <c r="AP21"/>
      <c r="AR21"/>
      <c r="AS21"/>
      <c r="AT21"/>
      <c r="AU21"/>
    </row>
    <row r="22" spans="3:47" ht="132" x14ac:dyDescent="0.25">
      <c r="D22" s="83"/>
      <c r="E22" s="85"/>
      <c r="F22" s="84" t="s">
        <v>306</v>
      </c>
      <c r="G22" s="84"/>
      <c r="I22" s="77" t="str">
        <f>Taxonomy!O7</f>
        <v>no</v>
      </c>
      <c r="J22" s="77" t="str">
        <f>Taxonomy!O8</f>
        <v>OS-provided PID CPU %
Cgroups Stat</v>
      </c>
      <c r="K22" s="77" t="str">
        <f>Taxonomy!O9</f>
        <v>PID runtime + HPC vector (cycles, instructions, cache misses) through eBPF tracing</v>
      </c>
      <c r="L22" s="77" t="str">
        <f>Taxonomy!O10</f>
        <v>OS-provided PID CPU %
Cgroups Stat
Code Special Print (Code Section)</v>
      </c>
      <c r="M22" s="71"/>
      <c r="N22" s="77" t="str">
        <f>Taxonomy!O13</f>
        <v>OS-provided PID CPU %</v>
      </c>
      <c r="O22" s="77" t="str">
        <f>Taxonomy!O14</f>
        <v>OS-provided PID CPU %</v>
      </c>
      <c r="P22" s="77" t="str">
        <f>Taxonomy!O15</f>
        <v>OS-provided PID CPU %</v>
      </c>
      <c r="Q22" s="77" t="str">
        <f>Taxonomy!O16</f>
        <v>OS-provided PID CPU %</v>
      </c>
      <c r="R22" s="71"/>
      <c r="S22" s="77" t="str">
        <f>Taxonomy!O18</f>
        <v>1) Time Markers : JVM byte code  instrumentation /
2) Call stack</v>
      </c>
      <c r="T22" s="77" t="str">
        <f>Taxonomy!O19</f>
        <v>1) OS-provided PID CPU %  for Java Threads through JVM instrumentation
2) Call Stack</v>
      </c>
      <c r="U22" s="77" t="str">
        <f>Taxonomy!O20</f>
        <v>Call stack</v>
      </c>
      <c r="V22" s="77" t="str">
        <f>Taxonomy!O21</f>
        <v>Time Markers</v>
      </c>
      <c r="W22"/>
      <c r="X22"/>
      <c r="AM22"/>
      <c r="AN22"/>
      <c r="AO22"/>
      <c r="AP22"/>
      <c r="AR22"/>
      <c r="AS22"/>
      <c r="AT22"/>
      <c r="AU22"/>
    </row>
    <row r="23" spans="3:47" ht="21" x14ac:dyDescent="0.25">
      <c r="C23"/>
      <c r="D23" s="83"/>
      <c r="E23" s="75"/>
      <c r="F23" s="75"/>
      <c r="G23" s="75"/>
      <c r="I23" s="78"/>
      <c r="J23" s="78"/>
      <c r="K23" s="78"/>
      <c r="L23" s="78"/>
      <c r="M23" s="71"/>
      <c r="N23" s="78"/>
      <c r="O23" s="78"/>
      <c r="P23" s="78"/>
      <c r="Q23" s="78"/>
      <c r="R23" s="71"/>
      <c r="S23" s="78"/>
      <c r="T23" s="78"/>
      <c r="U23" s="78"/>
      <c r="V23" s="78"/>
      <c r="W23"/>
      <c r="X23"/>
      <c r="AM23"/>
      <c r="AN23"/>
      <c r="AO23"/>
      <c r="AP23"/>
      <c r="AR23"/>
      <c r="AS23"/>
      <c r="AT23"/>
      <c r="AU23"/>
    </row>
    <row r="24" spans="3:47" ht="67" x14ac:dyDescent="0.25">
      <c r="D24" s="83"/>
      <c r="E24" s="85" t="s">
        <v>53</v>
      </c>
      <c r="F24" s="84" t="s">
        <v>307</v>
      </c>
      <c r="G24" s="74" t="s">
        <v>84</v>
      </c>
      <c r="I24" s="77" t="str">
        <f>Taxonomy!Q7</f>
        <v>no</v>
      </c>
      <c r="J24" s="77" t="str">
        <f>Taxonomy!Q8</f>
        <v>no</v>
      </c>
      <c r="K24" s="77" t="str">
        <f>Taxonomy!Q9</f>
        <v>no</v>
      </c>
      <c r="L24" s="77" t="str">
        <f>Taxonomy!Q10</f>
        <v>no</v>
      </c>
      <c r="M24" s="71"/>
      <c r="N24" s="77" t="str">
        <f>Taxonomy!Q13</f>
        <v>no</v>
      </c>
      <c r="O24" s="77" t="str">
        <f>Taxonomy!Q14</f>
        <v>no</v>
      </c>
      <c r="P24" s="77" t="str">
        <f>Taxonomy!Q15</f>
        <v>no</v>
      </c>
      <c r="Q24" s="77" t="str">
        <f>Taxonomy!Q16</f>
        <v>no</v>
      </c>
      <c r="R24" s="71"/>
      <c r="S24" s="77" t="str">
        <f>Taxonomy!Q18</f>
        <v>no</v>
      </c>
      <c r="T24" s="77" t="str">
        <f>Taxonomy!Q19</f>
        <v>no</v>
      </c>
      <c r="U24" s="77" t="str">
        <f>Taxonomy!Q20</f>
        <v>no</v>
      </c>
      <c r="V24" s="77" t="str">
        <f>Taxonomy!Q21</f>
        <v>no</v>
      </c>
      <c r="W24"/>
      <c r="X24"/>
      <c r="AM24"/>
      <c r="AN24"/>
      <c r="AO24"/>
      <c r="AP24"/>
      <c r="AR24"/>
      <c r="AS24"/>
      <c r="AT24"/>
      <c r="AU24"/>
    </row>
    <row r="25" spans="3:47" ht="127" x14ac:dyDescent="0.25">
      <c r="D25" s="83"/>
      <c r="E25" s="85"/>
      <c r="F25" s="84"/>
      <c r="G25" s="74" t="s">
        <v>85</v>
      </c>
      <c r="I25" s="77" t="str">
        <f>Taxonomy!R7</f>
        <v>no</v>
      </c>
      <c r="J25" s="77" t="str">
        <f>Taxonomy!R8</f>
        <v>✗(RAPL)</v>
      </c>
      <c r="K25" s="77" t="str">
        <f>Taxonomy!R9</f>
        <v>✗(RAPL)</v>
      </c>
      <c r="L25" s="77" t="str">
        <f>Taxonomy!R10</f>
        <v>✗(RAPL)</v>
      </c>
      <c r="M25" s="71"/>
      <c r="N25" s="77" t="str">
        <f>Taxonomy!R13</f>
        <v>no</v>
      </c>
      <c r="O25" s="77" t="str">
        <f>Taxonomy!R14</f>
        <v>no</v>
      </c>
      <c r="P25" s="77" t="str">
        <f>Taxonomy!R15</f>
        <v>✗(RAPL)</v>
      </c>
      <c r="Q25" s="77" t="str">
        <f>Taxonomy!R16</f>
        <v>✗(RAPL)</v>
      </c>
      <c r="R25" s="71"/>
      <c r="S25" s="77" t="str">
        <f>Taxonomy!R18</f>
        <v>no</v>
      </c>
      <c r="T25" s="77" t="str">
        <f>Taxonomy!R19</f>
        <v>✗(RAPL) Through Power Joular</v>
      </c>
      <c r="U25" s="77" t="str">
        <f>Taxonomy!R20</f>
        <v>✗(RAPL)</v>
      </c>
      <c r="V25" s="77" t="str">
        <f>Taxonomy!R21</f>
        <v>✗ (RAPL through linux  MSR kernel module)</v>
      </c>
      <c r="W25"/>
      <c r="X25"/>
      <c r="AM25"/>
      <c r="AN25"/>
      <c r="AO25"/>
      <c r="AP25"/>
      <c r="AR25"/>
      <c r="AS25"/>
      <c r="AT25"/>
      <c r="AU25"/>
    </row>
    <row r="26" spans="3:47" ht="50" x14ac:dyDescent="0.25">
      <c r="D26" s="83"/>
      <c r="E26" s="85"/>
      <c r="F26" s="84"/>
      <c r="G26" s="74" t="s">
        <v>364</v>
      </c>
      <c r="I26" s="77" t="str">
        <f>Taxonomy!S7</f>
        <v>no</v>
      </c>
      <c r="J26" s="77" t="str">
        <f>Taxonomy!S8</f>
        <v>no</v>
      </c>
      <c r="K26" s="77" t="str">
        <f>Taxonomy!S9</f>
        <v>no</v>
      </c>
      <c r="L26" s="77" t="str">
        <f>Taxonomy!S10</f>
        <v>no</v>
      </c>
      <c r="M26" s="71"/>
      <c r="N26" s="77" t="str">
        <f>Taxonomy!S13</f>
        <v>no</v>
      </c>
      <c r="O26" s="77" t="str">
        <f>Taxonomy!S14</f>
        <v>no</v>
      </c>
      <c r="P26" s="77" t="str">
        <f>Taxonomy!S15</f>
        <v>no</v>
      </c>
      <c r="Q26" s="77" t="str">
        <f>Taxonomy!S16</f>
        <v>no</v>
      </c>
      <c r="R26" s="71"/>
      <c r="S26" s="77" t="str">
        <f>Taxonomy!S18</f>
        <v>no</v>
      </c>
      <c r="T26" s="77" t="str">
        <f>Taxonomy!S19</f>
        <v>no</v>
      </c>
      <c r="U26" s="77" t="str">
        <f>Taxonomy!S20</f>
        <v>no</v>
      </c>
      <c r="V26" s="77" t="str">
        <f>Taxonomy!S21</f>
        <v>no</v>
      </c>
      <c r="W26"/>
      <c r="X26"/>
      <c r="AM26"/>
      <c r="AN26"/>
      <c r="AO26"/>
      <c r="AP26"/>
      <c r="AR26"/>
      <c r="AS26"/>
      <c r="AT26"/>
      <c r="AU26"/>
    </row>
    <row r="27" spans="3:47" ht="176" x14ac:dyDescent="0.25">
      <c r="D27" s="83"/>
      <c r="E27" s="85"/>
      <c r="F27" s="84" t="s">
        <v>306</v>
      </c>
      <c r="G27" s="84"/>
      <c r="I27" s="77" t="str">
        <f>Taxonomy!T7</f>
        <v>no</v>
      </c>
      <c r="J27" s="77" t="str">
        <f>Taxonomy!T8</f>
        <v>OS-provided PID CPU %
Cgroups Stat</v>
      </c>
      <c r="K27" s="77" t="str">
        <f>Taxonomy!T9</f>
        <v>PID runtime + HPC vector (cycles, instructions, cache misses) through eBPF tracing</v>
      </c>
      <c r="L27" s="77" t="str">
        <f>Taxonomy!T10</f>
        <v>OS-provided PID CPU %
Cgroups Stat (Container)
Code Special Print (Code Section)</v>
      </c>
      <c r="M27" s="71"/>
      <c r="N27" s="77" t="str">
        <f>Taxonomy!T13</f>
        <v>no</v>
      </c>
      <c r="O27" s="77" t="str">
        <f>Taxonomy!T14</f>
        <v>no</v>
      </c>
      <c r="P27" s="77" t="str">
        <f>Taxonomy!T15</f>
        <v>PID CPU %</v>
      </c>
      <c r="Q27" s="77" t="str">
        <f>Taxonomy!T16</f>
        <v>PID CPU %</v>
      </c>
      <c r="R27" s="71"/>
      <c r="S27" s="77" t="str">
        <f>Taxonomy!T18</f>
        <v>no</v>
      </c>
      <c r="T27" s="77" t="str">
        <f>Taxonomy!T19</f>
        <v>1) OS-provided PID CPU % for Java Threads through JVM instrumentation
2) Statistical sampling of thread stack trace</v>
      </c>
      <c r="U27" s="77" t="str">
        <f>Taxonomy!T20</f>
        <v>Call stack sampling</v>
      </c>
      <c r="V27" s="77" t="str">
        <f>Taxonomy!T21</f>
        <v>Time Markers</v>
      </c>
      <c r="W27"/>
      <c r="X27"/>
      <c r="AM27"/>
      <c r="AN27"/>
      <c r="AO27"/>
      <c r="AP27"/>
      <c r="AR27"/>
      <c r="AS27"/>
      <c r="AT27"/>
      <c r="AU27"/>
    </row>
    <row r="28" spans="3:47" ht="21" x14ac:dyDescent="0.25">
      <c r="D28" s="83"/>
      <c r="E28" s="75"/>
      <c r="F28" s="75"/>
      <c r="G28" s="75"/>
      <c r="I28" s="78"/>
      <c r="J28" s="78"/>
      <c r="K28" s="78"/>
      <c r="L28" s="78"/>
      <c r="M28" s="71"/>
      <c r="N28" s="78"/>
      <c r="O28" s="78"/>
      <c r="P28" s="78"/>
      <c r="Q28" s="78"/>
      <c r="R28" s="71"/>
      <c r="S28" s="78"/>
      <c r="T28" s="78"/>
      <c r="U28" s="78"/>
      <c r="V28" s="78"/>
      <c r="W28"/>
      <c r="X28"/>
      <c r="AM28"/>
      <c r="AN28"/>
      <c r="AO28"/>
      <c r="AP28"/>
      <c r="AR28"/>
      <c r="AS28"/>
      <c r="AT28"/>
      <c r="AU28"/>
    </row>
    <row r="29" spans="3:47" ht="67" x14ac:dyDescent="0.25">
      <c r="D29" s="83"/>
      <c r="E29" s="85" t="s">
        <v>54</v>
      </c>
      <c r="F29" s="84" t="s">
        <v>307</v>
      </c>
      <c r="G29" s="74" t="s">
        <v>84</v>
      </c>
      <c r="I29" s="77" t="str">
        <f>Taxonomy!V7</f>
        <v>no</v>
      </c>
      <c r="J29" s="77" t="str">
        <f>Taxonomy!V8</f>
        <v>no</v>
      </c>
      <c r="K29" s="77" t="str">
        <f>Taxonomy!V9</f>
        <v>no</v>
      </c>
      <c r="L29" s="77" t="str">
        <f>Taxonomy!V10</f>
        <v>no</v>
      </c>
      <c r="M29" s="71"/>
      <c r="N29" s="77" t="str">
        <f>Taxonomy!V13</f>
        <v>no</v>
      </c>
      <c r="O29" s="77" t="str">
        <f>Taxonomy!V14</f>
        <v>no</v>
      </c>
      <c r="P29" s="77" t="str">
        <f>Taxonomy!V15</f>
        <v>no</v>
      </c>
      <c r="Q29" s="77" t="str">
        <f>Taxonomy!V16</f>
        <v>no</v>
      </c>
      <c r="R29" s="71"/>
      <c r="S29" s="77" t="str">
        <f>Taxonomy!V18</f>
        <v>no</v>
      </c>
      <c r="T29" s="77" t="str">
        <f>Taxonomy!V19</f>
        <v>no</v>
      </c>
      <c r="U29" s="77" t="str">
        <f>Taxonomy!V20</f>
        <v>no</v>
      </c>
      <c r="V29" s="77" t="str">
        <f>Taxonomy!V21</f>
        <v>no</v>
      </c>
      <c r="W29"/>
      <c r="X29"/>
      <c r="AM29"/>
      <c r="AN29"/>
      <c r="AO29"/>
      <c r="AP29"/>
      <c r="AR29"/>
      <c r="AS29"/>
      <c r="AT29"/>
      <c r="AU29"/>
    </row>
    <row r="30" spans="3:47" ht="127" x14ac:dyDescent="0.25">
      <c r="D30" s="83"/>
      <c r="E30" s="85"/>
      <c r="F30" s="84"/>
      <c r="G30" s="74" t="s">
        <v>85</v>
      </c>
      <c r="I30" s="77" t="str">
        <f>Taxonomy!W7</f>
        <v>no</v>
      </c>
      <c r="J30" s="77" t="str">
        <f>Taxonomy!W8</f>
        <v>✗(NVLM)</v>
      </c>
      <c r="K30" s="77" t="str">
        <f>Taxonomy!W9</f>
        <v>✗(NVLM)</v>
      </c>
      <c r="L30" s="77" t="str">
        <f>Taxonomy!W10</f>
        <v>✗(NVLM)</v>
      </c>
      <c r="M30" s="71"/>
      <c r="N30" s="77" t="str">
        <f>Taxonomy!W13</f>
        <v>no</v>
      </c>
      <c r="O30" s="77" t="str">
        <f>Taxonomy!W14</f>
        <v>no</v>
      </c>
      <c r="P30" s="77" t="str">
        <f>Taxonomy!W15</f>
        <v>✗(NVIDIA-SMI, AMD-SMI) (computers and servers)</v>
      </c>
      <c r="Q30" s="77" t="str">
        <f>Taxonomy!W16</f>
        <v>✗(NVIDIA-SMI, AMD-SMI) (computers and servers)</v>
      </c>
      <c r="R30" s="71"/>
      <c r="S30" s="77" t="str">
        <f>Taxonomy!W18</f>
        <v>no</v>
      </c>
      <c r="T30" s="77" t="str">
        <f>Taxonomy!W19</f>
        <v>✗(NVIDIA SMI) (computers and servers through Power Joular</v>
      </c>
      <c r="U30" s="77" t="str">
        <f>Taxonomy!W20</f>
        <v>no</v>
      </c>
      <c r="V30" s="77" t="str">
        <f>Taxonomy!W21</f>
        <v>no</v>
      </c>
      <c r="W30"/>
      <c r="X30"/>
      <c r="AM30"/>
      <c r="AN30"/>
      <c r="AO30"/>
      <c r="AP30"/>
      <c r="AR30"/>
      <c r="AS30"/>
      <c r="AT30"/>
      <c r="AU30"/>
    </row>
    <row r="31" spans="3:47" ht="50" x14ac:dyDescent="0.25">
      <c r="D31" s="83"/>
      <c r="E31" s="85"/>
      <c r="F31" s="84"/>
      <c r="G31" s="74" t="s">
        <v>364</v>
      </c>
      <c r="I31" s="77" t="str">
        <f>Taxonomy!X7</f>
        <v>no</v>
      </c>
      <c r="J31" s="77" t="str">
        <f>Taxonomy!X8</f>
        <v>no</v>
      </c>
      <c r="K31" s="77" t="str">
        <f>Taxonomy!X9</f>
        <v>no</v>
      </c>
      <c r="L31" s="77" t="str">
        <f>Taxonomy!X10</f>
        <v>no</v>
      </c>
      <c r="M31" s="71"/>
      <c r="N31" s="77" t="str">
        <f>Taxonomy!X13</f>
        <v>no</v>
      </c>
      <c r="O31" s="77" t="str">
        <f>Taxonomy!X14</f>
        <v>no</v>
      </c>
      <c r="P31" s="77" t="str">
        <f>Taxonomy!X15</f>
        <v>no</v>
      </c>
      <c r="Q31" s="77" t="str">
        <f>Taxonomy!X16</f>
        <v>no</v>
      </c>
      <c r="R31" s="71"/>
      <c r="S31" s="77" t="str">
        <f>Taxonomy!X18</f>
        <v>no</v>
      </c>
      <c r="T31" s="77" t="str">
        <f>Taxonomy!X19</f>
        <v>no</v>
      </c>
      <c r="U31" s="77" t="str">
        <f>Taxonomy!X20</f>
        <v>no</v>
      </c>
      <c r="V31" s="77" t="str">
        <f>Taxonomy!X21</f>
        <v>no</v>
      </c>
      <c r="W31"/>
      <c r="X31"/>
      <c r="AM31"/>
      <c r="AN31"/>
      <c r="AO31"/>
      <c r="AP31"/>
      <c r="AR31"/>
      <c r="AS31"/>
      <c r="AT31"/>
      <c r="AU31"/>
    </row>
    <row r="32" spans="3:47" ht="176" x14ac:dyDescent="0.25">
      <c r="D32" s="83"/>
      <c r="E32" s="85"/>
      <c r="F32" s="84" t="s">
        <v>306</v>
      </c>
      <c r="G32" s="84"/>
      <c r="I32" s="77" t="str">
        <f>Taxonomy!Y7</f>
        <v>no</v>
      </c>
      <c r="J32" s="77" t="str">
        <f>Taxonomy!Y8</f>
        <v xml:space="preserve">NVLM-provided (i.e. driver) per-process SM utilization </v>
      </c>
      <c r="K32" s="77" t="str">
        <f>Taxonomy!Y9</f>
        <v xml:space="preserve">NVLM-provided (i.e. driver) per-process SM utilization </v>
      </c>
      <c r="L32" s="77" t="str">
        <f>Taxonomy!Y10</f>
        <v>OS-provided PID CPU %
Cgroups Stat
Code Special Print (Code Section)</v>
      </c>
      <c r="M32" s="71"/>
      <c r="N32" s="77" t="str">
        <f>Taxonomy!Y13</f>
        <v>no</v>
      </c>
      <c r="O32" s="77" t="str">
        <f>Taxonomy!Y14</f>
        <v>no</v>
      </c>
      <c r="P32" s="77" t="str">
        <f>Taxonomy!Y15</f>
        <v>PID GPU % (from driver API)</v>
      </c>
      <c r="Q32" s="77" t="str">
        <f>Taxonomy!Y16</f>
        <v>PID GPU % (from driver API)</v>
      </c>
      <c r="R32" s="71"/>
      <c r="S32" s="77" t="str">
        <f>Taxonomy!Y18</f>
        <v>no</v>
      </c>
      <c r="T32" s="77" t="str">
        <f>Taxonomy!Y19</f>
        <v>1) OS-provided PID CPU % for Java Threads through JVM instrumentation
2) Statistical sampling of thread stack trace</v>
      </c>
      <c r="U32" s="77" t="str">
        <f>Taxonomy!Y20</f>
        <v>no</v>
      </c>
      <c r="V32" s="77" t="str">
        <f>Taxonomy!Y21</f>
        <v>no</v>
      </c>
    </row>
    <row r="33" spans="4:65" ht="21" x14ac:dyDescent="0.25">
      <c r="D33" s="83"/>
      <c r="E33" s="75"/>
      <c r="F33" s="75"/>
      <c r="G33" s="75"/>
      <c r="I33" s="78"/>
      <c r="J33" s="78"/>
      <c r="K33" s="78"/>
      <c r="L33" s="78"/>
      <c r="M33" s="71"/>
      <c r="N33" s="78"/>
      <c r="O33" s="78"/>
      <c r="P33" s="78"/>
      <c r="Q33" s="78"/>
      <c r="R33" s="71"/>
      <c r="S33" s="78"/>
      <c r="T33" s="78"/>
      <c r="U33" s="78"/>
      <c r="V33" s="78"/>
    </row>
    <row r="34" spans="4:65" ht="67" x14ac:dyDescent="0.25">
      <c r="D34" s="83"/>
      <c r="E34" s="85" t="s">
        <v>271</v>
      </c>
      <c r="F34" s="84" t="s">
        <v>307</v>
      </c>
      <c r="G34" s="74" t="s">
        <v>84</v>
      </c>
      <c r="I34" s="77" t="str">
        <f>Taxonomy!AA7</f>
        <v>no</v>
      </c>
      <c r="J34" s="77" t="str">
        <f>Taxonomy!AA8</f>
        <v>no</v>
      </c>
      <c r="K34" s="77" t="str">
        <f>Taxonomy!AA9</f>
        <v>no</v>
      </c>
      <c r="L34" s="77" t="str">
        <f>Taxonomy!AA10</f>
        <v>no</v>
      </c>
      <c r="M34" s="71"/>
      <c r="N34" s="77" t="str">
        <f>Taxonomy!AA13</f>
        <v>no</v>
      </c>
      <c r="O34" s="77" t="str">
        <f>Taxonomy!AA14</f>
        <v>no</v>
      </c>
      <c r="P34" s="77" t="str">
        <f>Taxonomy!AA15</f>
        <v>no</v>
      </c>
      <c r="Q34" s="77" t="str">
        <f>Taxonomy!AA16</f>
        <v>no</v>
      </c>
      <c r="R34" s="71"/>
      <c r="S34" s="77" t="str">
        <f>Taxonomy!AA18</f>
        <v>no</v>
      </c>
      <c r="T34" s="77" t="str">
        <f>Taxonomy!AA19</f>
        <v>no</v>
      </c>
      <c r="U34" s="77" t="str">
        <f>Taxonomy!AA20</f>
        <v>no</v>
      </c>
      <c r="V34" s="77" t="str">
        <f>Taxonomy!AA21</f>
        <v>no</v>
      </c>
    </row>
    <row r="35" spans="4:65" ht="127" x14ac:dyDescent="0.25">
      <c r="D35" s="83"/>
      <c r="E35" s="85"/>
      <c r="F35" s="84"/>
      <c r="G35" s="74" t="s">
        <v>85</v>
      </c>
      <c r="I35" s="77" t="str">
        <f>Taxonomy!AB7</f>
        <v>no</v>
      </c>
      <c r="J35" s="77" t="str">
        <f>Taxonomy!AB8</f>
        <v>no</v>
      </c>
      <c r="K35" s="77" t="str">
        <f>Taxonomy!AB9</f>
        <v>no</v>
      </c>
      <c r="L35" s="77" t="str">
        <f>Taxonomy!AB10</f>
        <v>no</v>
      </c>
      <c r="M35" s="71"/>
      <c r="N35" s="77" t="str">
        <f>Taxonomy!AB13</f>
        <v>no</v>
      </c>
      <c r="O35" s="77" t="str">
        <f>Taxonomy!AB14</f>
        <v>no</v>
      </c>
      <c r="P35" s="77" t="str">
        <f>Taxonomy!AB15</f>
        <v>no</v>
      </c>
      <c r="Q35" s="77" t="str">
        <f>Taxonomy!AB16</f>
        <v>no</v>
      </c>
      <c r="R35" s="71"/>
      <c r="S35" s="77" t="str">
        <f>Taxonomy!AB18</f>
        <v>no</v>
      </c>
      <c r="T35" s="77" t="str">
        <f>Taxonomy!AB19</f>
        <v>no</v>
      </c>
      <c r="U35" s="77" t="str">
        <f>Taxonomy!AB20</f>
        <v>no</v>
      </c>
      <c r="V35" s="77" t="str">
        <f>Taxonomy!AB21</f>
        <v>no</v>
      </c>
    </row>
    <row r="36" spans="4:65" ht="50" x14ac:dyDescent="0.25">
      <c r="D36" s="83"/>
      <c r="E36" s="85"/>
      <c r="F36" s="84"/>
      <c r="G36" s="74" t="s">
        <v>364</v>
      </c>
      <c r="I36" s="77" t="str">
        <f>Taxonomy!AC7</f>
        <v>no</v>
      </c>
      <c r="J36" s="77" t="str">
        <f>Taxonomy!AC8</f>
        <v>no</v>
      </c>
      <c r="K36" s="77" t="str">
        <f>Taxonomy!AC9</f>
        <v>no</v>
      </c>
      <c r="L36" s="77" t="str">
        <f>Taxonomy!AC10</f>
        <v>no</v>
      </c>
      <c r="M36" s="71"/>
      <c r="N36" s="77" t="str">
        <f>Taxonomy!AC13</f>
        <v>✗</v>
      </c>
      <c r="O36" s="77" t="str">
        <f>Taxonomy!AC14</f>
        <v>no</v>
      </c>
      <c r="P36" s="77" t="str">
        <f>Taxonomy!AC15</f>
        <v>no</v>
      </c>
      <c r="Q36" s="77" t="str">
        <f>Taxonomy!AC16</f>
        <v>no</v>
      </c>
      <c r="R36" s="71"/>
      <c r="S36" s="77" t="str">
        <f>Taxonomy!AC18</f>
        <v>✗(Through PowerAPI)</v>
      </c>
      <c r="T36" s="77" t="str">
        <f>Taxonomy!AC19</f>
        <v>no</v>
      </c>
      <c r="U36" s="77" t="str">
        <f>Taxonomy!AC20</f>
        <v>no</v>
      </c>
      <c r="V36" s="77" t="str">
        <f>Taxonomy!AC21</f>
        <v>no</v>
      </c>
    </row>
    <row r="37" spans="4:65" ht="66" x14ac:dyDescent="0.25">
      <c r="D37" s="83"/>
      <c r="E37" s="85"/>
      <c r="F37" s="84" t="s">
        <v>306</v>
      </c>
      <c r="G37" s="84"/>
      <c r="I37" s="77" t="str">
        <f>Taxonomy!AD7</f>
        <v>no</v>
      </c>
      <c r="J37" s="77" t="str">
        <f>Taxonomy!AD8</f>
        <v>no</v>
      </c>
      <c r="K37" s="77" t="str">
        <f>Taxonomy!AD9</f>
        <v>no</v>
      </c>
      <c r="L37" s="77" t="str">
        <f>Taxonomy!AD10</f>
        <v>no</v>
      </c>
      <c r="M37" s="71"/>
      <c r="N37" s="77" t="str">
        <f>Taxonomy!AD13</f>
        <v>OS provided per-process (PID)Network I/O</v>
      </c>
      <c r="O37" s="77" t="str">
        <f>Taxonomy!AD14</f>
        <v>no</v>
      </c>
      <c r="P37" s="77" t="str">
        <f>Taxonomy!AD15</f>
        <v>no</v>
      </c>
      <c r="Q37" s="77" t="str">
        <f>Taxonomy!AD16</f>
        <v>no</v>
      </c>
      <c r="R37" s="71"/>
      <c r="S37" s="77" t="str">
        <f>Taxonomy!AD18</f>
        <v xml:space="preserve"> getInputStream()  getOutputStream() calls</v>
      </c>
      <c r="T37" s="77" t="str">
        <f>Taxonomy!AD19</f>
        <v>no</v>
      </c>
      <c r="U37" s="77" t="str">
        <f>Taxonomy!AD20</f>
        <v>no</v>
      </c>
      <c r="V37" s="77" t="str">
        <f>Taxonomy!AD21</f>
        <v>no</v>
      </c>
    </row>
    <row r="38" spans="4:65" ht="21" x14ac:dyDescent="0.25">
      <c r="D38" s="83"/>
      <c r="E38" s="75"/>
      <c r="F38" s="75"/>
      <c r="G38" s="75"/>
      <c r="I38" s="78"/>
      <c r="J38" s="78"/>
      <c r="K38" s="78"/>
      <c r="L38" s="78"/>
      <c r="M38" s="71"/>
      <c r="N38" s="78"/>
      <c r="O38" s="78"/>
      <c r="P38" s="78"/>
      <c r="Q38" s="78"/>
      <c r="R38" s="71"/>
      <c r="S38" s="78"/>
      <c r="T38" s="78"/>
      <c r="U38" s="78"/>
      <c r="V38" s="78"/>
    </row>
    <row r="39" spans="4:65" ht="67" x14ac:dyDescent="0.25">
      <c r="D39" s="83"/>
      <c r="E39" s="85" t="s">
        <v>124</v>
      </c>
      <c r="F39" s="84" t="s">
        <v>307</v>
      </c>
      <c r="G39" s="76" t="s">
        <v>84</v>
      </c>
      <c r="I39" s="77" t="str">
        <f>Taxonomy!AF7</f>
        <v>no</v>
      </c>
      <c r="J39" s="77" t="str">
        <f>Taxonomy!AF8</f>
        <v>✗(IPMI, ACPI)</v>
      </c>
      <c r="K39" s="77" t="str">
        <f>Taxonomy!AF9</f>
        <v>✗(IPMI, ACPI)</v>
      </c>
      <c r="L39" s="77" t="str">
        <f>Taxonomy!AF10</f>
        <v>✗</v>
      </c>
      <c r="M39" s="71"/>
      <c r="N39" s="77" t="str">
        <f>Taxonomy!AF13</f>
        <v>no</v>
      </c>
      <c r="O39" s="77" t="str">
        <f>Taxonomy!AF14</f>
        <v>no</v>
      </c>
      <c r="P39" s="77" t="str">
        <f>Taxonomy!AF15</f>
        <v>no</v>
      </c>
      <c r="Q39" s="77" t="str">
        <f>Taxonomy!AF16</f>
        <v>no</v>
      </c>
      <c r="R39" s="71"/>
      <c r="S39" s="77" t="str">
        <f>Taxonomy!AF18</f>
        <v>no</v>
      </c>
      <c r="T39" s="77" t="str">
        <f>Taxonomy!AF19</f>
        <v>no</v>
      </c>
      <c r="U39" s="77" t="str">
        <f>Taxonomy!AF20</f>
        <v>no</v>
      </c>
      <c r="V39" s="77" t="str">
        <f>Taxonomy!AF21</f>
        <v>no</v>
      </c>
    </row>
    <row r="40" spans="4:65" ht="127" x14ac:dyDescent="0.25">
      <c r="D40" s="83"/>
      <c r="E40" s="85"/>
      <c r="F40" s="84"/>
      <c r="G40" s="76" t="s">
        <v>85</v>
      </c>
      <c r="I40" s="77" t="str">
        <f>Taxonomy!AG7</f>
        <v>✗(RAPL)</v>
      </c>
      <c r="J40" s="77" t="str">
        <f>Taxonomy!AG8</f>
        <v>no</v>
      </c>
      <c r="K40" s="77" t="str">
        <f>Taxonomy!AG9</f>
        <v>no</v>
      </c>
      <c r="L40" s="77" t="str">
        <f>Taxonomy!AG10</f>
        <v>✗(RAPL PSYS Domain)</v>
      </c>
      <c r="M40" s="71"/>
      <c r="N40" s="77" t="str">
        <f>Taxonomy!AG13</f>
        <v>no</v>
      </c>
      <c r="O40" s="77" t="str">
        <f>Taxonomy!AG14</f>
        <v>no</v>
      </c>
      <c r="P40" s="77" t="str">
        <f>Taxonomy!AG15</f>
        <v>no</v>
      </c>
      <c r="Q40" s="77" t="str">
        <f>Taxonomy!AG16</f>
        <v>✗(RAPL)</v>
      </c>
      <c r="R40" s="71"/>
      <c r="S40" s="77" t="str">
        <f>Taxonomy!AG18</f>
        <v>no</v>
      </c>
      <c r="T40" s="77" t="str">
        <f>Taxonomy!AG19</f>
        <v>no</v>
      </c>
      <c r="U40" s="77" t="str">
        <f>Taxonomy!AG20</f>
        <v>✗ (RAPL throush PAPI)</v>
      </c>
      <c r="V40" s="77" t="str">
        <f>Taxonomy!AG21</f>
        <v>✗ (RAPL through linux  MSR kernel module)</v>
      </c>
    </row>
    <row r="41" spans="4:65" ht="154" x14ac:dyDescent="0.25">
      <c r="D41" s="83"/>
      <c r="E41" s="85"/>
      <c r="F41" s="84"/>
      <c r="G41" s="76" t="s">
        <v>364</v>
      </c>
      <c r="I41" s="77" t="str">
        <f>Taxonomy!AH7</f>
        <v>no</v>
      </c>
      <c r="J41" s="77" t="str">
        <f>Taxonomy!AH8</f>
        <v>Regression-based model</v>
      </c>
      <c r="K41" s="77" t="str">
        <f>Taxonomy!AH9</f>
        <v>Regression-based 
trained power model</v>
      </c>
      <c r="L41" s="77" t="str">
        <f>Taxonomy!AH10</f>
        <v xml:space="preserve">✗1) XGBoost model (TDP, Machine Specs and CPU%)
2) Analytical Model(TDP, #CPUchips and CPU %) </v>
      </c>
      <c r="M41" s="71"/>
      <c r="N41" s="77" t="str">
        <f>Taxonomy!AH13</f>
        <v>✗(TDP)</v>
      </c>
      <c r="O41" s="77" t="str">
        <f>Taxonomy!AH14</f>
        <v>✗  HPC     (cycles, instructions, cache misses) vector</v>
      </c>
      <c r="P41" s="77" t="str">
        <f>Taxonomy!AH15</f>
        <v>polynomial regression For Rasberry Pi</v>
      </c>
      <c r="Q41" s="77" t="str">
        <f>Taxonomy!AH16</f>
        <v>polynomial regression For Rasberry Pi</v>
      </c>
      <c r="R41" s="71"/>
      <c r="S41" s="77" t="str">
        <f>Taxonomy!AH18</f>
        <v>no</v>
      </c>
      <c r="T41" s="77" t="str">
        <f>Taxonomy!AH19</f>
        <v>polynomial regression For Rasberry Pi</v>
      </c>
      <c r="U41" s="77" t="str">
        <f>Taxonomy!AH20</f>
        <v>no</v>
      </c>
      <c r="V41" s="77" t="str">
        <f>Taxonomy!AH21</f>
        <v>no</v>
      </c>
    </row>
    <row r="42" spans="4:65" ht="176" x14ac:dyDescent="0.25">
      <c r="D42" s="83"/>
      <c r="E42" s="85"/>
      <c r="F42" s="84" t="s">
        <v>306</v>
      </c>
      <c r="G42" s="84"/>
      <c r="I42" s="77" t="str">
        <f>Taxonomy!AI7</f>
        <v>OS-provided PID CPU %</v>
      </c>
      <c r="J42" s="77" t="str">
        <f>Taxonomy!AI8</f>
        <v>OS-provided PID CPU %
Cgroups Stat</v>
      </c>
      <c r="K42" s="77" t="str">
        <f>Taxonomy!AI9</f>
        <v>PID runtime + HPC vector (cycles, instructions, cache misses) through eBPF tracing</v>
      </c>
      <c r="L42" s="77" t="str">
        <f>Taxonomy!AI10</f>
        <v>OS-provided PID CPU %
Cgroups Stat (container)
Code Special Print (Code Section)</v>
      </c>
      <c r="M42" s="71"/>
      <c r="N42" s="77" t="str">
        <f>Taxonomy!AI13</f>
        <v>OS-provided PID CPU %</v>
      </c>
      <c r="O42" s="77" t="str">
        <f>Taxonomy!AI14</f>
        <v>OS-provided PID CPU %</v>
      </c>
      <c r="P42" s="77" t="str">
        <f>Taxonomy!AI15</f>
        <v>OS-provided PID CPU %</v>
      </c>
      <c r="Q42" s="77" t="str">
        <f>Taxonomy!AI16</f>
        <v>OS-provided PID CPU %</v>
      </c>
      <c r="R42" s="71"/>
      <c r="S42" s="77" t="str">
        <f>Taxonomy!AI18</f>
        <v>no</v>
      </c>
      <c r="T42" s="77" t="str">
        <f>Taxonomy!AI19</f>
        <v>1) OS-provided PID CPU % for Java Threads through JVM instrumentation
2) Statistical sampling of thread stack trace</v>
      </c>
      <c r="U42" s="77" t="str">
        <f>Taxonomy!AI20</f>
        <v>Call stack sampling</v>
      </c>
      <c r="V42" s="77" t="str">
        <f>Taxonomy!AI21</f>
        <v>Time Markers</v>
      </c>
    </row>
    <row r="43" spans="4:65" customFormat="1" ht="21" x14ac:dyDescent="0.25">
      <c r="I43" s="71"/>
      <c r="J43" s="71"/>
      <c r="K43" s="71"/>
      <c r="L43" s="71"/>
      <c r="M43" s="71"/>
      <c r="N43" s="71"/>
      <c r="O43" s="71"/>
      <c r="P43" s="71"/>
      <c r="Q43" s="71"/>
      <c r="R43" s="71"/>
      <c r="S43" s="71"/>
      <c r="T43" s="71"/>
      <c r="U43" s="71"/>
      <c r="V43" s="71"/>
    </row>
    <row r="44" spans="4:65" ht="22" x14ac:dyDescent="0.25">
      <c r="D44" s="90" t="s">
        <v>308</v>
      </c>
      <c r="E44" s="89" t="s">
        <v>315</v>
      </c>
      <c r="F44" s="88" t="s">
        <v>309</v>
      </c>
      <c r="G44" s="88"/>
      <c r="I44" s="77" t="str">
        <f>Taxonomy!AK7</f>
        <v>✗</v>
      </c>
      <c r="J44" s="77" t="str">
        <f>Taxonomy!AK8</f>
        <v>✗</v>
      </c>
      <c r="K44" s="77" t="str">
        <f>Taxonomy!AK9</f>
        <v>no</v>
      </c>
      <c r="L44" s="77" t="str">
        <f>Taxonomy!AK10</f>
        <v>✗</v>
      </c>
      <c r="M44" s="71"/>
      <c r="N44" s="77" t="str">
        <f>Taxonomy!AK13</f>
        <v>✗</v>
      </c>
      <c r="O44" s="77" t="str">
        <f>Taxonomy!AK14</f>
        <v>✗</v>
      </c>
      <c r="P44" s="77" t="str">
        <f>Taxonomy!AK15</f>
        <v>✗</v>
      </c>
      <c r="Q44" s="77" t="str">
        <f>Taxonomy!AK16</f>
        <v>✗</v>
      </c>
      <c r="R44" s="71"/>
      <c r="S44" s="77" t="str">
        <f>Taxonomy!AK18</f>
        <v>✗ (For NIC)</v>
      </c>
      <c r="T44" s="77" t="str">
        <f>Taxonomy!AK19</f>
        <v>✗(for threads)</v>
      </c>
      <c r="U44" s="77" t="str">
        <f>Taxonomy!AK20</f>
        <v>no</v>
      </c>
      <c r="V44" s="77" t="str">
        <f>Taxonomy!AK21</f>
        <v>no</v>
      </c>
    </row>
    <row r="45" spans="4:65" ht="66" x14ac:dyDescent="0.25">
      <c r="D45" s="90"/>
      <c r="E45" s="89"/>
      <c r="F45" s="88" t="s">
        <v>310</v>
      </c>
      <c r="G45" s="88"/>
      <c r="I45" s="77" t="str">
        <f>Taxonomy!AL7</f>
        <v>no</v>
      </c>
      <c r="J45" s="77" t="str">
        <f>Taxonomy!AL8</f>
        <v>no</v>
      </c>
      <c r="K45" s="77" t="str">
        <f>Taxonomy!AL9</f>
        <v>✗ (from HPC vector  (cycles, instructions, cache misses))</v>
      </c>
      <c r="L45" s="77" t="str">
        <f>Taxonomy!AL10</f>
        <v>no</v>
      </c>
      <c r="M45" s="71"/>
      <c r="N45" s="77" t="str">
        <f>Taxonomy!AL13</f>
        <v>no</v>
      </c>
      <c r="O45" s="77" t="str">
        <f>Taxonomy!AL14</f>
        <v>no</v>
      </c>
      <c r="P45" s="77" t="str">
        <f>Taxonomy!AL15</f>
        <v>no</v>
      </c>
      <c r="Q45" s="77" t="str">
        <f>Taxonomy!AL16</f>
        <v>no</v>
      </c>
      <c r="R45" s="71"/>
      <c r="S45" s="77" t="str">
        <f>Taxonomy!AL18</f>
        <v>no</v>
      </c>
      <c r="T45" s="77" t="str">
        <f>Taxonomy!AL19</f>
        <v>no</v>
      </c>
      <c r="U45" s="77" t="str">
        <f>Taxonomy!AL20</f>
        <v>no</v>
      </c>
      <c r="V45" s="77" t="str">
        <f>Taxonomy!AL21</f>
        <v>no</v>
      </c>
      <c r="BM45"/>
    </row>
    <row r="46" spans="4:65" ht="176" x14ac:dyDescent="0.25">
      <c r="D46" s="90"/>
      <c r="E46" s="89"/>
      <c r="F46" s="88" t="s">
        <v>258</v>
      </c>
      <c r="G46" s="88"/>
      <c r="I46" s="77" t="str">
        <f>Taxonomy!AM7</f>
        <v>no</v>
      </c>
      <c r="J46" s="77" t="str">
        <f>Taxonomy!AM8</f>
        <v>no</v>
      </c>
      <c r="K46" s="77" t="str">
        <f>Taxonomy!AM9</f>
        <v>no</v>
      </c>
      <c r="L46" s="77" t="str">
        <f>Taxonomy!AM10</f>
        <v>no</v>
      </c>
      <c r="M46" s="71"/>
      <c r="N46" s="77" t="str">
        <f>Taxonomy!AM13</f>
        <v>no</v>
      </c>
      <c r="O46" s="77" t="str">
        <f>Taxonomy!AM14</f>
        <v>no</v>
      </c>
      <c r="P46" s="77" t="str">
        <f>Taxonomy!AM15</f>
        <v>no</v>
      </c>
      <c r="Q46" s="77" t="str">
        <f>Taxonomy!AM16</f>
        <v>no</v>
      </c>
      <c r="R46" s="71"/>
      <c r="S46" s="77" t="str">
        <f>Taxonomy!AM18</f>
        <v>✗(for CPU : call-stack sampling version)</v>
      </c>
      <c r="T46" s="77" t="str">
        <f>Taxonomy!AM19</f>
        <v>✗</v>
      </c>
      <c r="U46" s="77" t="str">
        <f>Taxonomy!AM20</f>
        <v>✗(1) Allocate all RAPL system energy to process it is attached to
2) Statistical Sampling (stack trace) to allocate energy to functions)</v>
      </c>
      <c r="V46" s="77" t="str">
        <f>Taxonomy!AM21</f>
        <v>no</v>
      </c>
    </row>
    <row r="47" spans="4:65" ht="88" x14ac:dyDescent="0.25">
      <c r="D47" s="90"/>
      <c r="E47" s="89"/>
      <c r="F47" s="88" t="s">
        <v>319</v>
      </c>
      <c r="G47" s="88"/>
      <c r="I47" s="77" t="str">
        <f>Taxonomy!AN7</f>
        <v>no</v>
      </c>
      <c r="J47" s="77" t="str">
        <f>Taxonomy!AN8</f>
        <v>no</v>
      </c>
      <c r="K47" s="77" t="str">
        <f>Taxonomy!AN9</f>
        <v>no</v>
      </c>
      <c r="L47" s="77" t="str">
        <f>Taxonomy!AN10</f>
        <v>✗(SCI functionnality)</v>
      </c>
      <c r="M47" s="71"/>
      <c r="N47" s="77" t="str">
        <f>Taxonomy!AN13</f>
        <v>no</v>
      </c>
      <c r="O47" s="77" t="str">
        <f>Taxonomy!AN14</f>
        <v>no</v>
      </c>
      <c r="P47" s="77" t="str">
        <f>Taxonomy!AN15</f>
        <v>no</v>
      </c>
      <c r="Q47" s="77" t="str">
        <f>Taxonomy!AN16</f>
        <v>no</v>
      </c>
      <c r="R47" s="71"/>
      <c r="S47" s="77" t="str">
        <f>Taxonomy!AN18</f>
        <v>✗ (for CPU : bytecode instrumentation version)</v>
      </c>
      <c r="T47" s="77" t="str">
        <f>Taxonomy!AN19</f>
        <v>no</v>
      </c>
      <c r="U47" s="77" t="str">
        <f>Taxonomy!AN20</f>
        <v>no</v>
      </c>
      <c r="V47" s="77" t="str">
        <f>Taxonomy!AN21</f>
        <v>✗</v>
      </c>
    </row>
    <row r="48" spans="4:65" ht="110" x14ac:dyDescent="0.25">
      <c r="D48" s="90"/>
      <c r="E48" s="80" t="s">
        <v>337</v>
      </c>
      <c r="F48" s="80"/>
      <c r="G48" s="80"/>
      <c r="I48" s="77" t="str">
        <f>Taxonomy!AO7</f>
        <v>no</v>
      </c>
      <c r="J48" s="77" t="str">
        <f>Taxonomy!AO8</f>
        <v>Modeled and allocated
proportionnaly to processes size</v>
      </c>
      <c r="K48" s="77" t="str">
        <f>Taxonomy!AO9</f>
        <v>Modeled and allocated
proportionnaly to processes size</v>
      </c>
      <c r="L48" s="77" t="str">
        <f>Taxonomy!AO10</f>
        <v>Modeled and 
allocated to container 
according to OS-provided PID CPU %</v>
      </c>
      <c r="M48" s="71"/>
      <c r="N48" s="77" t="str">
        <f>Taxonomy!AO13</f>
        <v>no</v>
      </c>
      <c r="O48" s="77" t="str">
        <f>Taxonomy!AO14</f>
        <v>no</v>
      </c>
      <c r="P48" s="77" t="str">
        <f>Taxonomy!AO15</f>
        <v>no</v>
      </c>
      <c r="Q48" s="77" t="str">
        <f>Taxonomy!AO16</f>
        <v>Modeled and 
substracted before allocation</v>
      </c>
      <c r="R48" s="71"/>
      <c r="S48" s="77" t="str">
        <f>Taxonomy!AO18</f>
        <v>no</v>
      </c>
      <c r="T48" s="77" t="str">
        <f>Taxonomy!AO19</f>
        <v>no</v>
      </c>
      <c r="U48" s="77" t="str">
        <f>Taxonomy!AO20</f>
        <v>no</v>
      </c>
      <c r="V48" s="77" t="str">
        <f>Taxonomy!AO21</f>
        <v>no</v>
      </c>
    </row>
    <row r="49" spans="4:65" customFormat="1" ht="21" x14ac:dyDescent="0.25">
      <c r="D49" s="71"/>
      <c r="E49" s="71"/>
      <c r="F49" s="71"/>
      <c r="G49" s="71"/>
      <c r="I49" s="71"/>
      <c r="J49" s="71"/>
      <c r="K49" s="71"/>
      <c r="L49" s="71"/>
      <c r="M49" s="71"/>
      <c r="N49" s="71"/>
      <c r="O49" s="71"/>
      <c r="P49" s="71"/>
      <c r="Q49" s="71"/>
      <c r="R49" s="71"/>
      <c r="S49" s="71"/>
      <c r="T49" s="71"/>
      <c r="U49" s="71"/>
      <c r="V49" s="71"/>
    </row>
    <row r="50" spans="4:65" ht="154" x14ac:dyDescent="0.25">
      <c r="D50" s="81" t="s">
        <v>268</v>
      </c>
      <c r="E50" s="82" t="s">
        <v>269</v>
      </c>
      <c r="F50" s="82"/>
      <c r="G50" s="82"/>
      <c r="I50" s="77" t="str">
        <f>Taxonomy!AQ7</f>
        <v>no</v>
      </c>
      <c r="J50" s="77" t="str">
        <f>Taxonomy!AQ8</f>
        <v>Regression model (# cores and OS-provided Resource Utilisation metrics as input)</v>
      </c>
      <c r="K50" s="77" t="str">
        <f>Taxonomy!AQ9</f>
        <v>Regression model (# cores and OS-provided Resource Utilisation metrics as input)</v>
      </c>
      <c r="L50" s="77" t="str">
        <f>Taxonomy!AQ10</f>
        <v xml:space="preserve">1) XGBoost model (# cores TDP, Machine Specs and CPU%)
2) Analytical Model(TDP, #CPUchips and CPU %) </v>
      </c>
      <c r="M50" s="71"/>
      <c r="N50" s="77" t="str">
        <f>Taxonomy!AQ13</f>
        <v>no</v>
      </c>
      <c r="O50" s="77" t="str">
        <f>Taxonomy!AQ14</f>
        <v>no</v>
      </c>
      <c r="P50" s="77" t="str">
        <f>Taxonomy!AQ15</f>
        <v>no</v>
      </c>
      <c r="Q50" s="77" t="str">
        <f>Taxonomy!AQ16</f>
        <v>no</v>
      </c>
      <c r="R50" s="71"/>
      <c r="S50" s="77" t="str">
        <f>Taxonomy!AQ18</f>
        <v>no</v>
      </c>
      <c r="T50" s="77" t="str">
        <f>Taxonomy!AQ19</f>
        <v>no</v>
      </c>
      <c r="U50" s="77" t="str">
        <f>Taxonomy!AQ20</f>
        <v>no</v>
      </c>
      <c r="V50" s="77" t="str">
        <f>Taxonomy!AQ21</f>
        <v>no</v>
      </c>
    </row>
    <row r="51" spans="4:65" ht="176" x14ac:dyDescent="0.25">
      <c r="D51" s="81"/>
      <c r="E51" s="82" t="s">
        <v>290</v>
      </c>
      <c r="F51" s="82"/>
      <c r="G51" s="82"/>
      <c r="I51" s="77" t="str">
        <f>Taxonomy!AR7</f>
        <v>✗</v>
      </c>
      <c r="J51" s="77" t="str">
        <f>Taxonomy!AR8</f>
        <v>no
( (CNCF 2023) mentions a planned "passthrough" mode for VM deployment which expose VM energy in a shared file.</v>
      </c>
      <c r="K51" s="77" t="str">
        <f>Taxonomy!AR9</f>
        <v>no
( (CNCF 2023) mentions a planned "passthrough" mode for VM deployment which expose VM energy in a shared file.</v>
      </c>
      <c r="L51" s="77" t="str">
        <f>Taxonomy!AR10</f>
        <v>no</v>
      </c>
      <c r="M51" s="71"/>
      <c r="N51" s="77" t="str">
        <f>Taxonomy!AR13</f>
        <v>no</v>
      </c>
      <c r="O51" s="77" t="str">
        <f>Taxonomy!AR14</f>
        <v>no</v>
      </c>
      <c r="P51" s="77" t="str">
        <f>Taxonomy!AR15</f>
        <v>✗</v>
      </c>
      <c r="Q51" s="77" t="str">
        <f>Taxonomy!AR16</f>
        <v>✗</v>
      </c>
      <c r="R51" s="71"/>
      <c r="S51" s="77" t="str">
        <f>Taxonomy!AR18</f>
        <v>no</v>
      </c>
      <c r="T51" s="77" t="str">
        <f>Taxonomy!AR19</f>
        <v>no</v>
      </c>
      <c r="U51" s="77" t="str">
        <f>Taxonomy!AR20</f>
        <v>no</v>
      </c>
      <c r="V51" s="77" t="str">
        <f>Taxonomy!AR21</f>
        <v>no</v>
      </c>
      <c r="BM51"/>
    </row>
    <row r="52" spans="4:65" ht="22" x14ac:dyDescent="0.25">
      <c r="D52" s="81"/>
      <c r="E52" s="82" t="s">
        <v>270</v>
      </c>
      <c r="F52" s="82"/>
      <c r="G52" s="82"/>
      <c r="I52" s="77" t="str">
        <f>Taxonomy!AS7</f>
        <v>no</v>
      </c>
      <c r="J52" s="77" t="str">
        <f>Taxonomy!AS8</f>
        <v>no</v>
      </c>
      <c r="K52" s="77" t="str">
        <f>Taxonomy!AS9</f>
        <v>no</v>
      </c>
      <c r="L52" s="77" t="str">
        <f>Taxonomy!AS10</f>
        <v>no</v>
      </c>
      <c r="M52" s="71"/>
      <c r="N52" s="77" t="str">
        <f>Taxonomy!AS13</f>
        <v>no</v>
      </c>
      <c r="O52" s="77" t="str">
        <f>Taxonomy!AS14</f>
        <v>no</v>
      </c>
      <c r="P52" s="77" t="str">
        <f>Taxonomy!AS15</f>
        <v>no</v>
      </c>
      <c r="Q52" s="77" t="str">
        <f>Taxonomy!AS16</f>
        <v>no</v>
      </c>
      <c r="R52" s="71"/>
      <c r="S52" s="77" t="str">
        <f>Taxonomy!AS18</f>
        <v>no</v>
      </c>
      <c r="T52" s="77" t="str">
        <f>Taxonomy!AS19</f>
        <v>Uses PowerJoular</v>
      </c>
      <c r="U52" s="77" t="str">
        <f>Taxonomy!AS20</f>
        <v>no</v>
      </c>
      <c r="V52" s="77" t="str">
        <f>Taxonomy!AS21</f>
        <v>no</v>
      </c>
    </row>
    <row r="62" spans="4:65" x14ac:dyDescent="0.2">
      <c r="S62"/>
      <c r="T62"/>
      <c r="U62"/>
      <c r="V62"/>
      <c r="W62"/>
      <c r="X62"/>
      <c r="Y62"/>
      <c r="Z62"/>
      <c r="AA62"/>
      <c r="AB62"/>
      <c r="AC62"/>
      <c r="AD62"/>
    </row>
    <row r="63" spans="4:65" x14ac:dyDescent="0.2">
      <c r="S63"/>
      <c r="T63"/>
      <c r="U63"/>
      <c r="V63"/>
      <c r="W63"/>
      <c r="X63"/>
      <c r="Y63"/>
      <c r="Z63"/>
      <c r="AA63"/>
      <c r="AB63"/>
      <c r="AC63"/>
      <c r="AD63"/>
    </row>
    <row r="64" spans="4:65" x14ac:dyDescent="0.2">
      <c r="S64"/>
      <c r="T64"/>
      <c r="U64"/>
      <c r="V64"/>
      <c r="W64"/>
      <c r="X64"/>
      <c r="Y64"/>
      <c r="Z64"/>
      <c r="AA64"/>
      <c r="AB64"/>
      <c r="AC64"/>
      <c r="AD64"/>
    </row>
    <row r="65" spans="19:34" ht="47" x14ac:dyDescent="0.55000000000000004">
      <c r="S65"/>
      <c r="T65"/>
      <c r="U65"/>
      <c r="V65"/>
      <c r="W65"/>
      <c r="X65"/>
      <c r="Y65"/>
      <c r="Z65"/>
      <c r="AA65"/>
      <c r="AB65"/>
      <c r="AC65"/>
      <c r="AD65"/>
      <c r="AH65" s="50"/>
    </row>
    <row r="66" spans="19:34" ht="47" x14ac:dyDescent="0.55000000000000004">
      <c r="S66"/>
      <c r="T66"/>
      <c r="U66"/>
      <c r="V66"/>
      <c r="W66"/>
      <c r="X66"/>
      <c r="Y66"/>
      <c r="Z66"/>
      <c r="AA66"/>
      <c r="AB66"/>
      <c r="AC66"/>
      <c r="AD66"/>
      <c r="AH66" s="50"/>
    </row>
    <row r="67" spans="19:34" x14ac:dyDescent="0.2">
      <c r="S67"/>
      <c r="T67"/>
      <c r="U67"/>
      <c r="V67"/>
      <c r="W67"/>
      <c r="X67"/>
      <c r="Y67"/>
      <c r="Z67"/>
      <c r="AA67"/>
      <c r="AB67"/>
      <c r="AC67"/>
      <c r="AD67"/>
    </row>
    <row r="68" spans="19:34" x14ac:dyDescent="0.2">
      <c r="S68"/>
      <c r="T68"/>
      <c r="U68"/>
      <c r="V68"/>
      <c r="W68"/>
      <c r="X68"/>
      <c r="Y68"/>
      <c r="Z68"/>
      <c r="AA68"/>
      <c r="AB68"/>
      <c r="AC68"/>
      <c r="AD68"/>
    </row>
    <row r="69" spans="19:34" x14ac:dyDescent="0.2">
      <c r="S69"/>
      <c r="T69"/>
      <c r="U69"/>
      <c r="V69"/>
      <c r="W69"/>
      <c r="X69"/>
      <c r="Y69"/>
      <c r="Z69"/>
      <c r="AA69"/>
      <c r="AB69"/>
      <c r="AC69"/>
      <c r="AD69"/>
    </row>
    <row r="70" spans="19:34" x14ac:dyDescent="0.2">
      <c r="S70"/>
      <c r="T70"/>
      <c r="U70"/>
      <c r="V70"/>
      <c r="W70"/>
      <c r="X70"/>
      <c r="Y70"/>
      <c r="Z70"/>
      <c r="AA70"/>
      <c r="AB70"/>
      <c r="AC70"/>
      <c r="AD70"/>
    </row>
    <row r="71" spans="19:34" x14ac:dyDescent="0.2">
      <c r="S71"/>
      <c r="T71"/>
      <c r="U71"/>
      <c r="V71"/>
      <c r="W71"/>
      <c r="X71"/>
      <c r="Y71"/>
      <c r="Z71"/>
      <c r="AA71"/>
      <c r="AB71"/>
      <c r="AC71"/>
      <c r="AD71"/>
    </row>
    <row r="72" spans="19:34" x14ac:dyDescent="0.2">
      <c r="S72"/>
      <c r="T72"/>
      <c r="U72"/>
      <c r="V72"/>
      <c r="W72"/>
      <c r="X72"/>
      <c r="Y72"/>
      <c r="Z72"/>
      <c r="AA72"/>
      <c r="AB72"/>
      <c r="AC72"/>
      <c r="AD72"/>
    </row>
    <row r="73" spans="19:34" x14ac:dyDescent="0.2">
      <c r="S73"/>
      <c r="T73"/>
      <c r="U73"/>
      <c r="V73"/>
      <c r="W73"/>
      <c r="X73"/>
      <c r="Y73"/>
      <c r="Z73"/>
      <c r="AA73"/>
      <c r="AB73"/>
      <c r="AC73"/>
      <c r="AD73"/>
    </row>
    <row r="74" spans="19:34" x14ac:dyDescent="0.2">
      <c r="S74"/>
      <c r="T74"/>
      <c r="U74"/>
      <c r="V74"/>
      <c r="W74"/>
      <c r="X74"/>
      <c r="Y74"/>
      <c r="Z74"/>
      <c r="AA74"/>
      <c r="AB74"/>
      <c r="AC74"/>
      <c r="AD74"/>
    </row>
    <row r="75" spans="19:34" x14ac:dyDescent="0.2">
      <c r="S75"/>
      <c r="T75"/>
      <c r="U75"/>
      <c r="V75"/>
      <c r="W75"/>
      <c r="X75"/>
      <c r="Y75"/>
      <c r="Z75"/>
      <c r="AA75"/>
      <c r="AB75"/>
      <c r="AC75"/>
      <c r="AD75"/>
    </row>
  </sheetData>
  <mergeCells count="36">
    <mergeCell ref="F37:G37"/>
    <mergeCell ref="F39:F41"/>
    <mergeCell ref="E39:E42"/>
    <mergeCell ref="F42:G42"/>
    <mergeCell ref="F34:F36"/>
    <mergeCell ref="E34:E37"/>
    <mergeCell ref="E52:G52"/>
    <mergeCell ref="D9:G9"/>
    <mergeCell ref="E11:G11"/>
    <mergeCell ref="D11:D17"/>
    <mergeCell ref="E12:G12"/>
    <mergeCell ref="F19:F21"/>
    <mergeCell ref="E19:E22"/>
    <mergeCell ref="F46:G46"/>
    <mergeCell ref="F47:G47"/>
    <mergeCell ref="E50:G50"/>
    <mergeCell ref="E44:E47"/>
    <mergeCell ref="D44:D48"/>
    <mergeCell ref="F45:G45"/>
    <mergeCell ref="F44:G44"/>
    <mergeCell ref="E14:G14"/>
    <mergeCell ref="E13:G13"/>
    <mergeCell ref="E48:G48"/>
    <mergeCell ref="D50:D52"/>
    <mergeCell ref="E51:G51"/>
    <mergeCell ref="E17:G17"/>
    <mergeCell ref="E16:G16"/>
    <mergeCell ref="E15:G15"/>
    <mergeCell ref="D19:D42"/>
    <mergeCell ref="F22:G22"/>
    <mergeCell ref="F24:F26"/>
    <mergeCell ref="E24:E27"/>
    <mergeCell ref="F27:G27"/>
    <mergeCell ref="F29:F31"/>
    <mergeCell ref="E29:E32"/>
    <mergeCell ref="F32:G32"/>
  </mergeCells>
  <conditionalFormatting sqref="I11:L17 N11:Q17 S11:V17 I19:L22 N19:Q22 S19:V22 I24:L27 N24:Q27 S24:V27 I29:L32 N29:Q32 S29:V32 I34:L37 N34:Q37 S34:V37 I39:L42 N39:Q42 S39:V42 I44:L48 N44:Q48 S44:V48 I50:L52 N50:Q52 S50:V52">
    <cfRule type="beginsWith" dxfId="7" priority="1" stopIfTrue="1" operator="beginsWith" text="no">
      <formula>LEFT(I11,LEN("no"))="no"</formula>
    </cfRule>
    <cfRule type="notContainsBlanks" dxfId="6" priority="2" stopIfTrue="1">
      <formula>LEN(TRIM(I11))&gt;0</formula>
    </cfRule>
  </conditionalFormatting>
  <pageMargins left="0.25" right="0.25" top="0.75" bottom="0.75" header="0.3" footer="0.3"/>
  <pageSetup paperSize="9" scale="10"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8758A-B22C-E64B-ACDA-0657BFB65E55}">
  <dimension ref="B5:U23"/>
  <sheetViews>
    <sheetView showGridLines="0" tabSelected="1" topLeftCell="A4" zoomScale="69" zoomScaleNormal="100" workbookViewId="0">
      <selection activeCell="O17" sqref="O17"/>
    </sheetView>
  </sheetViews>
  <sheetFormatPr baseColWidth="10" defaultRowHeight="15" x14ac:dyDescent="0.2"/>
  <cols>
    <col min="1" max="1" width="8.6640625" customWidth="1"/>
    <col min="3" max="3" width="2.6640625" customWidth="1"/>
    <col min="4" max="4" width="16" customWidth="1"/>
    <col min="5" max="5" width="21.6640625" customWidth="1"/>
    <col min="6" max="6" width="16.5" customWidth="1"/>
    <col min="7" max="7" width="11.1640625" customWidth="1"/>
    <col min="9" max="9" width="10.6640625" bestFit="1" customWidth="1"/>
    <col min="10" max="10" width="6.1640625" bestFit="1" customWidth="1"/>
    <col min="11" max="11" width="10.6640625" bestFit="1" customWidth="1"/>
    <col min="12" max="12" width="8.5" bestFit="1" customWidth="1"/>
    <col min="13" max="13" width="10.6640625" bestFit="1" customWidth="1"/>
    <col min="14" max="14" width="10.33203125" bestFit="1" customWidth="1"/>
    <col min="15" max="15" width="5.33203125" bestFit="1" customWidth="1"/>
    <col min="16" max="16" width="8.33203125" bestFit="1" customWidth="1"/>
    <col min="17" max="17" width="6.5" bestFit="1" customWidth="1"/>
    <col min="18" max="18" width="8.5" bestFit="1" customWidth="1"/>
    <col min="19" max="19" width="9.5" bestFit="1" customWidth="1"/>
    <col min="21" max="21" width="8.33203125" bestFit="1" customWidth="1"/>
  </cols>
  <sheetData>
    <row r="5" spans="2:21" x14ac:dyDescent="0.2">
      <c r="B5" s="210" t="s">
        <v>16</v>
      </c>
      <c r="D5" s="214" t="s">
        <v>262</v>
      </c>
      <c r="E5" s="214"/>
      <c r="F5" s="214"/>
      <c r="G5" s="214"/>
      <c r="H5" s="214"/>
      <c r="I5" s="214"/>
      <c r="J5" s="214"/>
      <c r="K5" s="214"/>
      <c r="L5" s="214"/>
      <c r="M5" s="214"/>
      <c r="N5" s="214"/>
      <c r="O5" s="214"/>
      <c r="P5" s="214"/>
      <c r="Q5" s="214"/>
      <c r="R5" s="214"/>
      <c r="S5" s="214"/>
      <c r="T5" s="214"/>
      <c r="U5" s="214"/>
    </row>
    <row r="6" spans="2:21" x14ac:dyDescent="0.2">
      <c r="B6" s="210"/>
      <c r="D6" s="215" t="s">
        <v>67</v>
      </c>
      <c r="E6" s="215" t="s">
        <v>65</v>
      </c>
      <c r="F6" s="215" t="s">
        <v>69</v>
      </c>
      <c r="G6" s="215" t="s">
        <v>68</v>
      </c>
      <c r="H6" s="215" t="s">
        <v>264</v>
      </c>
      <c r="I6" s="211" t="s">
        <v>305</v>
      </c>
      <c r="J6" s="212"/>
      <c r="K6" s="212"/>
      <c r="L6" s="212"/>
      <c r="M6" s="212"/>
      <c r="N6" s="212"/>
      <c r="O6" s="212"/>
      <c r="P6" s="212"/>
      <c r="Q6" s="212"/>
      <c r="R6" s="212"/>
      <c r="S6" s="212"/>
      <c r="T6" s="212"/>
      <c r="U6" s="213"/>
    </row>
    <row r="7" spans="2:21" x14ac:dyDescent="0.2">
      <c r="B7" s="210"/>
      <c r="D7" s="216"/>
      <c r="E7" s="216"/>
      <c r="F7" s="216"/>
      <c r="G7" s="216"/>
      <c r="H7" s="216"/>
      <c r="I7" s="207" t="s">
        <v>81</v>
      </c>
      <c r="J7" s="207" t="s">
        <v>64</v>
      </c>
      <c r="K7" s="207" t="s">
        <v>287</v>
      </c>
      <c r="L7" s="207" t="s">
        <v>62</v>
      </c>
      <c r="M7" s="207" t="s">
        <v>58</v>
      </c>
      <c r="N7" s="207" t="s">
        <v>299</v>
      </c>
      <c r="O7" s="211" t="s">
        <v>332</v>
      </c>
      <c r="P7" s="212"/>
      <c r="Q7" s="213"/>
      <c r="R7" s="207" t="s">
        <v>71</v>
      </c>
      <c r="S7" s="207" t="s">
        <v>8</v>
      </c>
      <c r="T7" s="207" t="s">
        <v>72</v>
      </c>
      <c r="U7" s="207" t="s">
        <v>300</v>
      </c>
    </row>
    <row r="8" spans="2:21" ht="16" x14ac:dyDescent="0.2">
      <c r="B8" s="210"/>
      <c r="D8" s="217"/>
      <c r="E8" s="217"/>
      <c r="F8" s="217"/>
      <c r="G8" s="217"/>
      <c r="H8" s="217"/>
      <c r="I8" s="208"/>
      <c r="J8" s="208"/>
      <c r="K8" s="208"/>
      <c r="L8" s="208"/>
      <c r="M8" s="208"/>
      <c r="N8" s="208"/>
      <c r="O8" s="61" t="s">
        <v>329</v>
      </c>
      <c r="P8" s="61" t="s">
        <v>330</v>
      </c>
      <c r="Q8" s="61" t="s">
        <v>331</v>
      </c>
      <c r="R8" s="208"/>
      <c r="S8" s="208"/>
      <c r="T8" s="208"/>
      <c r="U8" s="209"/>
    </row>
    <row r="9" spans="2:21" x14ac:dyDescent="0.2">
      <c r="D9" s="47"/>
      <c r="E9" s="47"/>
      <c r="F9" s="47"/>
      <c r="G9" s="47"/>
      <c r="H9" s="47"/>
      <c r="I9" s="47"/>
      <c r="J9" s="47"/>
      <c r="K9" s="47"/>
      <c r="L9" s="47"/>
      <c r="M9" s="47"/>
      <c r="N9" s="47"/>
      <c r="O9" s="47"/>
      <c r="P9" s="47"/>
      <c r="Q9" s="47"/>
      <c r="R9" s="47"/>
      <c r="S9" s="47"/>
      <c r="T9" s="47"/>
      <c r="U9" s="47"/>
    </row>
    <row r="10" spans="2:21" ht="62" customHeight="1" x14ac:dyDescent="0.2">
      <c r="B10" s="65" t="s">
        <v>28</v>
      </c>
      <c r="D10" s="62">
        <f>Taxonomy!AU7</f>
        <v>0</v>
      </c>
      <c r="E10" s="62" t="str">
        <f>Taxonomy!AV7</f>
        <v>1Hz (Max 28Hz If modified as in (Raffin and Trystram 2024))</v>
      </c>
      <c r="F10" s="62">
        <f>Taxonomy!AW7</f>
        <v>0</v>
      </c>
      <c r="G10" s="62" t="str">
        <f>Taxonomy!AX7</f>
        <v>no</v>
      </c>
      <c r="H10" s="62">
        <f>Taxonomy!AY7</f>
        <v>0</v>
      </c>
      <c r="I10" s="62" t="str">
        <f>Taxonomy!AZ7</f>
        <v>✗</v>
      </c>
      <c r="J10" s="62" t="str">
        <f>Taxonomy!BA7</f>
        <v>✗</v>
      </c>
      <c r="K10" s="62" t="str">
        <f>Taxonomy!BB7</f>
        <v>no</v>
      </c>
      <c r="L10" s="62" t="str">
        <f>Taxonomy!BC7</f>
        <v>✗</v>
      </c>
      <c r="M10" s="62" t="str">
        <f>Taxonomy!BD7</f>
        <v>no</v>
      </c>
      <c r="N10" s="62" t="str">
        <f>Taxonomy!BE7</f>
        <v>no</v>
      </c>
      <c r="O10" s="62" t="str">
        <f>Taxonomy!BF7</f>
        <v>✗</v>
      </c>
      <c r="P10" s="62" t="str">
        <f>Taxonomy!BG7</f>
        <v>✗</v>
      </c>
      <c r="Q10" s="62" t="str">
        <f>Taxonomy!BH7</f>
        <v>no</v>
      </c>
      <c r="R10" s="62" t="str">
        <f>Taxonomy!BI7</f>
        <v>✗</v>
      </c>
      <c r="S10" s="62" t="str">
        <f>Taxonomy!BJ7</f>
        <v>✗</v>
      </c>
      <c r="T10" s="62" t="str">
        <f>Taxonomy!BK7</f>
        <v>✗</v>
      </c>
      <c r="U10" s="62" t="str">
        <f>Taxonomy!BL7</f>
        <v>no</v>
      </c>
    </row>
    <row r="11" spans="2:21" ht="109" customHeight="1" x14ac:dyDescent="0.2">
      <c r="B11" s="66" t="s">
        <v>313</v>
      </c>
      <c r="D11" s="62" t="str">
        <f>Taxonomy!AU8</f>
        <v>Reported MSE of 0.01 in (Amaral et al. 2023)</v>
      </c>
      <c r="E11" s="62" t="str">
        <f>Taxonomy!AV8</f>
        <v>~ms at RAPL read level
Effective resolution = Prometheus scrape interval
(typically 1s–30s depending on configuration)</v>
      </c>
      <c r="F11" s="62">
        <f>Taxonomy!AW8</f>
        <v>0</v>
      </c>
      <c r="G11" s="62" t="str">
        <f>Taxonomy!AX8</f>
        <v>no</v>
      </c>
      <c r="H11" s="62">
        <f>Taxonomy!AY8</f>
        <v>0</v>
      </c>
      <c r="I11" s="62" t="str">
        <f>Taxonomy!AZ8</f>
        <v>✗</v>
      </c>
      <c r="J11" s="62" t="str">
        <f>Taxonomy!BA8</f>
        <v>✗</v>
      </c>
      <c r="K11" s="62" t="str">
        <f>Taxonomy!BB8</f>
        <v>no</v>
      </c>
      <c r="L11" s="62" t="str">
        <f>Taxonomy!BC8</f>
        <v>✗</v>
      </c>
      <c r="M11" s="62" t="str">
        <f>Taxonomy!BD8</f>
        <v>no</v>
      </c>
      <c r="N11" s="62" t="str">
        <f>Taxonomy!BE8</f>
        <v>no</v>
      </c>
      <c r="O11" s="62" t="str">
        <f>Taxonomy!BF8</f>
        <v>✗</v>
      </c>
      <c r="P11" s="62" t="str">
        <f>Taxonomy!BG8</f>
        <v>no</v>
      </c>
      <c r="Q11" s="62" t="str">
        <f>Taxonomy!BH8</f>
        <v>no</v>
      </c>
      <c r="R11" s="62" t="str">
        <f>Taxonomy!BI8</f>
        <v>✗</v>
      </c>
      <c r="S11" s="62" t="str">
        <f>Taxonomy!BJ8</f>
        <v>✗</v>
      </c>
      <c r="T11" s="62" t="str">
        <f>Taxonomy!BK8</f>
        <v>✗</v>
      </c>
      <c r="U11" s="62" t="str">
        <f>Taxonomy!BL8</f>
        <v>no</v>
      </c>
    </row>
    <row r="12" spans="2:21" ht="48" x14ac:dyDescent="0.2">
      <c r="B12" s="66" t="s">
        <v>312</v>
      </c>
      <c r="D12" s="62" t="str">
        <f>Taxonomy!AU9</f>
        <v>Reported MSE of 0.01 in (Amaral et al. 2023)</v>
      </c>
      <c r="E12" s="62" t="str">
        <f>Taxonomy!AV9</f>
        <v>eBPF data collected every 3s.</v>
      </c>
      <c r="F12" s="62">
        <f>Taxonomy!AW9</f>
        <v>0</v>
      </c>
      <c r="G12" s="62" t="str">
        <f>Taxonomy!AX9</f>
        <v>no</v>
      </c>
      <c r="H12" s="62">
        <f>Taxonomy!AY9</f>
        <v>0</v>
      </c>
      <c r="I12" s="62" t="str">
        <f>Taxonomy!AZ9</f>
        <v>✗</v>
      </c>
      <c r="J12" s="62" t="str">
        <f>Taxonomy!BA9</f>
        <v>✗</v>
      </c>
      <c r="K12" s="62" t="str">
        <f>Taxonomy!BB9</f>
        <v>no</v>
      </c>
      <c r="L12" s="62" t="str">
        <f>Taxonomy!BC9</f>
        <v>✗</v>
      </c>
      <c r="M12" s="62" t="str">
        <f>Taxonomy!BD9</f>
        <v>no</v>
      </c>
      <c r="N12" s="62" t="str">
        <f>Taxonomy!BE9</f>
        <v>no</v>
      </c>
      <c r="O12" s="62" t="str">
        <f>Taxonomy!BF9</f>
        <v>✗</v>
      </c>
      <c r="P12" s="62" t="str">
        <f>Taxonomy!BG9</f>
        <v>no</v>
      </c>
      <c r="Q12" s="62" t="str">
        <f>Taxonomy!BH9</f>
        <v>no</v>
      </c>
      <c r="R12" s="62" t="str">
        <f>Taxonomy!BI9</f>
        <v>✗</v>
      </c>
      <c r="S12" s="62" t="str">
        <f>Taxonomy!BJ9</f>
        <v>✗</v>
      </c>
      <c r="T12" s="62" t="str">
        <f>Taxonomy!BK9</f>
        <v>✗</v>
      </c>
      <c r="U12" s="62" t="str">
        <f>Taxonomy!BL9</f>
        <v>no</v>
      </c>
    </row>
    <row r="13" spans="2:21" ht="132" customHeight="1" x14ac:dyDescent="0.2">
      <c r="B13" s="65" t="s">
        <v>23</v>
      </c>
      <c r="D13" s="62" t="str">
        <f>Taxonomy!AU10</f>
        <v>Relative to metric providers : 
For RAPL which is extensively used by the GMT : https://www.green-coding.io/case-studies/rapl-and-sgx/</v>
      </c>
      <c r="E13" s="62" t="str">
        <f>Taxonomy!AV10</f>
        <v>~ms
Configurable for each metric provider
(1ms for RAPL metric provider)</v>
      </c>
      <c r="F13" s="62" t="str">
        <f>Taxonomy!AW10</f>
        <v>Designed to be low (uses containers).
GMT allows to estimate it
through a special script : calibrate.py</v>
      </c>
      <c r="G13" s="62" t="str">
        <f>Taxonomy!AX10</f>
        <v>✗(Manual : For SCI)</v>
      </c>
      <c r="H13" s="62" t="str">
        <f>Taxonomy!AY10</f>
        <v>Run as Root
Installs RAPL Kernel Module</v>
      </c>
      <c r="I13" s="62" t="str">
        <f>Taxonomy!AZ10</f>
        <v>✗</v>
      </c>
      <c r="J13" s="62" t="str">
        <f>Taxonomy!BA10</f>
        <v>✗</v>
      </c>
      <c r="K13" s="62" t="str">
        <f>Taxonomy!BB10</f>
        <v>no</v>
      </c>
      <c r="L13" s="62" t="str">
        <f>Taxonomy!BC10</f>
        <v>✗</v>
      </c>
      <c r="M13" s="62" t="str">
        <f>Taxonomy!BD10</f>
        <v>Few Metric Providers
with limited Accuracy</v>
      </c>
      <c r="N13" s="62" t="str">
        <f>Taxonomy!BE10</f>
        <v>Depends on Metric Provider in Use</v>
      </c>
      <c r="O13" s="62" t="str">
        <f>Taxonomy!BF10</f>
        <v>✗</v>
      </c>
      <c r="P13" s="62" t="str">
        <f>Taxonomy!BG10</f>
        <v>no</v>
      </c>
      <c r="Q13" s="62" t="str">
        <f>Taxonomy!BH10</f>
        <v>no</v>
      </c>
      <c r="R13" s="62" t="str">
        <f>Taxonomy!BI10</f>
        <v>✗</v>
      </c>
      <c r="S13" s="62" t="str">
        <f>Taxonomy!BJ10</f>
        <v>✗</v>
      </c>
      <c r="T13" s="62" t="str">
        <f>Taxonomy!BK10</f>
        <v>no</v>
      </c>
      <c r="U13" s="62" t="str">
        <f>Taxonomy!BL10</f>
        <v>no</v>
      </c>
    </row>
    <row r="14" spans="2:21" x14ac:dyDescent="0.2">
      <c r="B14" s="49"/>
      <c r="D14" s="54"/>
      <c r="E14" s="54"/>
      <c r="F14" s="54"/>
      <c r="G14" s="54"/>
      <c r="H14" s="64"/>
      <c r="I14" s="54"/>
      <c r="J14" s="54"/>
      <c r="K14" s="54"/>
      <c r="L14" s="54"/>
      <c r="M14" s="54"/>
      <c r="N14" s="54"/>
      <c r="O14" s="54"/>
      <c r="P14" s="54"/>
      <c r="Q14" s="54"/>
      <c r="R14" s="54"/>
      <c r="S14" s="54"/>
      <c r="T14" s="54"/>
      <c r="U14" s="54"/>
    </row>
    <row r="15" spans="2:21" ht="66" customHeight="1" x14ac:dyDescent="0.2">
      <c r="B15" s="65" t="s">
        <v>256</v>
      </c>
      <c r="D15" s="63" t="str">
        <f>Taxonomy!AU13</f>
        <v>Reported in (Noureddine et al. 2012; (Noureddine et al. 2015))</v>
      </c>
      <c r="E15" s="63" t="str">
        <f>Taxonomy!AV13</f>
        <v>~Monitoring Cycle of 1s mentioned in (Noureddine et al. 2012)</v>
      </c>
      <c r="F15" s="63" t="str">
        <f>Taxonomy!AW13</f>
        <v>1.79% Reported in (Noureddine et al. 2012; (Noureddine et al. 2015))</v>
      </c>
      <c r="G15" s="63" t="str">
        <f>Taxonomy!AX13</f>
        <v>no</v>
      </c>
      <c r="H15" s="63">
        <f>Taxonomy!AY13</f>
        <v>0</v>
      </c>
      <c r="I15" s="63" t="str">
        <f>Taxonomy!AZ13</f>
        <v>✗</v>
      </c>
      <c r="J15" s="63" t="str">
        <f>Taxonomy!BA13</f>
        <v>✗</v>
      </c>
      <c r="K15" s="63" t="str">
        <f>Taxonomy!BB13</f>
        <v>no</v>
      </c>
      <c r="L15" s="63" t="str">
        <f>Taxonomy!BC13</f>
        <v>✗</v>
      </c>
      <c r="M15" s="63">
        <f>Taxonomy!BD13</f>
        <v>0</v>
      </c>
      <c r="N15" s="63" t="str">
        <f>Taxonomy!BE13</f>
        <v>no</v>
      </c>
      <c r="O15" s="63" t="str">
        <f>Taxonomy!BF13</f>
        <v>✗</v>
      </c>
      <c r="P15" s="63" t="str">
        <f>Taxonomy!BG13</f>
        <v>no</v>
      </c>
      <c r="Q15" s="63" t="str">
        <f>Taxonomy!BH13</f>
        <v>no</v>
      </c>
      <c r="R15" s="63" t="str">
        <f>Taxonomy!BI13</f>
        <v>no</v>
      </c>
      <c r="S15" s="63" t="str">
        <f>Taxonomy!BJ13</f>
        <v>no</v>
      </c>
      <c r="T15" s="63" t="str">
        <f>Taxonomy!BK13</f>
        <v>no</v>
      </c>
      <c r="U15" s="63" t="str">
        <f>Taxonomy!BL13</f>
        <v>no</v>
      </c>
    </row>
    <row r="16" spans="2:21" ht="76" customHeight="1" x14ac:dyDescent="0.2">
      <c r="B16" s="65" t="s">
        <v>40</v>
      </c>
      <c r="D16" s="63">
        <f>Taxonomy!AU14</f>
        <v>0</v>
      </c>
      <c r="E16" s="63" t="str">
        <f>Taxonomy!AV14</f>
        <v>~Monitoring Cycle of 1s mentioned in (Noureddine et al. 2012)</v>
      </c>
      <c r="F16" s="63" t="str">
        <f>Taxonomy!AW14</f>
        <v>Reported in (Noureddine et al. 2012; (Noureddine et al. 2015))</v>
      </c>
      <c r="G16" s="63" t="str">
        <f>Taxonomy!AX14</f>
        <v>no</v>
      </c>
      <c r="H16" s="63">
        <f>Taxonomy!AY14</f>
        <v>0</v>
      </c>
      <c r="I16" s="63" t="str">
        <f>Taxonomy!AZ14</f>
        <v>✗</v>
      </c>
      <c r="J16" s="63" t="str">
        <f>Taxonomy!BA14</f>
        <v>✗</v>
      </c>
      <c r="K16" s="63" t="str">
        <f>Taxonomy!BB14</f>
        <v>no</v>
      </c>
      <c r="L16" s="63" t="str">
        <f>Taxonomy!BC14</f>
        <v>✗</v>
      </c>
      <c r="M16" s="63">
        <f>Taxonomy!BD14</f>
        <v>0</v>
      </c>
      <c r="N16" s="63" t="str">
        <f>Taxonomy!BE14</f>
        <v>no</v>
      </c>
      <c r="O16" s="63" t="str">
        <f>Taxonomy!BF14</f>
        <v>✗</v>
      </c>
      <c r="P16" s="63" t="str">
        <f>Taxonomy!BG14</f>
        <v>no</v>
      </c>
      <c r="Q16" s="63" t="str">
        <f>Taxonomy!BH14</f>
        <v>no</v>
      </c>
      <c r="R16" s="63" t="str">
        <f>Taxonomy!BI14</f>
        <v>no</v>
      </c>
      <c r="S16" s="63" t="str">
        <f>Taxonomy!BJ14</f>
        <v>no</v>
      </c>
      <c r="T16" s="63" t="str">
        <f>Taxonomy!BK14</f>
        <v>no</v>
      </c>
      <c r="U16" s="63" t="str">
        <f>Taxonomy!BL14</f>
        <v>no</v>
      </c>
    </row>
    <row r="17" spans="2:21" ht="120" customHeight="1" x14ac:dyDescent="0.2">
      <c r="B17" s="65" t="s">
        <v>44</v>
      </c>
      <c r="D17" s="63" t="str">
        <f>Taxonomy!AU15</f>
        <v xml:space="preserve">btw 0.3% and 3.83% on RaspberryPie (Noureddine [2021] 2022)
</v>
      </c>
      <c r="E17" s="63" t="str">
        <f>Taxonomy!AV15</f>
        <v>~1s</v>
      </c>
      <c r="F17" s="63" t="str">
        <f>Taxonomy!AW15</f>
        <v>no :
Not reported but supposed to be low (1s sampling rate + written in Ada (low carbon language(Noureddine [2021] 2022)))</v>
      </c>
      <c r="G17" s="63" t="str">
        <f>Taxonomy!AX15</f>
        <v>no</v>
      </c>
      <c r="H17" s="63" t="str">
        <f>Taxonomy!AY15</f>
        <v>Run as Root
Use Powercap for RAPL access</v>
      </c>
      <c r="I17" s="63" t="str">
        <f>Taxonomy!AZ15</f>
        <v>✗</v>
      </c>
      <c r="J17" s="63" t="str">
        <f>Taxonomy!BA15</f>
        <v>✗</v>
      </c>
      <c r="K17" s="63" t="str">
        <f>Taxonomy!BB15</f>
        <v>✗</v>
      </c>
      <c r="L17" s="63" t="str">
        <f>Taxonomy!BC15</f>
        <v>✗</v>
      </c>
      <c r="M17" s="63" t="str">
        <f>Taxonomy!BD15</f>
        <v>✗(specific models)</v>
      </c>
      <c r="N17" s="63" t="str">
        <f>Taxonomy!BE15</f>
        <v>no</v>
      </c>
      <c r="O17" s="63" t="str">
        <f>Taxonomy!BF15</f>
        <v>✗</v>
      </c>
      <c r="P17" s="63" t="str">
        <f>Taxonomy!BG15</f>
        <v>no</v>
      </c>
      <c r="Q17" s="63" t="str">
        <f>Taxonomy!BH15</f>
        <v>no</v>
      </c>
      <c r="R17" s="63" t="str">
        <f>Taxonomy!BI15</f>
        <v>✗</v>
      </c>
      <c r="S17" s="63" t="str">
        <f>Taxonomy!BJ15</f>
        <v>✗</v>
      </c>
      <c r="T17" s="63" t="str">
        <f>Taxonomy!BK15</f>
        <v>no</v>
      </c>
      <c r="U17" s="63" t="str">
        <f>Taxonomy!BL15</f>
        <v>no</v>
      </c>
    </row>
    <row r="18" spans="2:21" ht="23" customHeight="1" x14ac:dyDescent="0.2">
      <c r="B18" s="65" t="s">
        <v>206</v>
      </c>
      <c r="D18" s="63" t="str">
        <f>Taxonomy!AU16</f>
        <v>no</v>
      </c>
      <c r="E18" s="63" t="str">
        <f>Taxonomy!AV16</f>
        <v>~1s</v>
      </c>
      <c r="F18" s="63" t="str">
        <f>Taxonomy!AW16</f>
        <v>no</v>
      </c>
      <c r="G18" s="63" t="str">
        <f>Taxonomy!AX16</f>
        <v>no</v>
      </c>
      <c r="H18" s="63">
        <f>Taxonomy!AY16</f>
        <v>0</v>
      </c>
      <c r="I18" s="63" t="str">
        <f>Taxonomy!AZ16</f>
        <v>✗</v>
      </c>
      <c r="J18" s="63" t="str">
        <f>Taxonomy!BA16</f>
        <v>✗</v>
      </c>
      <c r="K18" s="63" t="str">
        <f>Taxonomy!BB16</f>
        <v>✗</v>
      </c>
      <c r="L18" s="63" t="str">
        <f>Taxonomy!BC16</f>
        <v>✗</v>
      </c>
      <c r="M18" s="63" t="str">
        <f>Taxonomy!BD16</f>
        <v>✗</v>
      </c>
      <c r="N18" s="63" t="str">
        <f>Taxonomy!BE16</f>
        <v>✗</v>
      </c>
      <c r="O18" s="63" t="str">
        <f>Taxonomy!BF16</f>
        <v>✗</v>
      </c>
      <c r="P18" s="63" t="str">
        <f>Taxonomy!BG16</f>
        <v>✗</v>
      </c>
      <c r="Q18" s="63" t="str">
        <f>Taxonomy!BH16</f>
        <v>✗</v>
      </c>
      <c r="R18" s="63" t="str">
        <f>Taxonomy!BI16</f>
        <v>✗</v>
      </c>
      <c r="S18" s="63" t="str">
        <f>Taxonomy!BJ16</f>
        <v>✗</v>
      </c>
      <c r="T18" s="63" t="str">
        <f>Taxonomy!BK16</f>
        <v>no</v>
      </c>
      <c r="U18" s="63" t="str">
        <f>Taxonomy!BL16</f>
        <v>no</v>
      </c>
    </row>
    <row r="19" spans="2:21" x14ac:dyDescent="0.2">
      <c r="B19" s="49"/>
      <c r="D19" s="54"/>
      <c r="E19" s="54"/>
      <c r="F19" s="54"/>
      <c r="G19" s="54"/>
      <c r="H19" s="64"/>
      <c r="I19" s="54"/>
      <c r="J19" s="54"/>
      <c r="K19" s="54"/>
      <c r="L19" s="54"/>
      <c r="M19" s="54"/>
      <c r="N19" s="54"/>
      <c r="O19" s="54"/>
      <c r="P19" s="54"/>
      <c r="Q19" s="54"/>
      <c r="R19" s="54"/>
      <c r="S19" s="54"/>
      <c r="T19" s="54"/>
      <c r="U19" s="54"/>
    </row>
    <row r="20" spans="2:21" ht="80" customHeight="1" x14ac:dyDescent="0.2">
      <c r="B20" s="66" t="s">
        <v>257</v>
      </c>
      <c r="D20" s="63" t="str">
        <f>Taxonomy!AU18</f>
        <v>Reported in (Noureddine et al. 2012; (Noureddine et al. 2015))</v>
      </c>
      <c r="E20" s="63" t="str">
        <f>Taxonomy!AV18</f>
        <v>~Monitoring Cycle of 1s mentioned in (Noureddine et al. 2012)</v>
      </c>
      <c r="F20" s="63" t="str">
        <f>Taxonomy!AW18</f>
        <v>380% : Reported in (Noureddine et al. 2012; (Noureddine et al. 2015))</v>
      </c>
      <c r="G20" s="63" t="str">
        <f>Taxonomy!AX18</f>
        <v>✗ (Automatic : Byte Code Instrumentation version )</v>
      </c>
      <c r="H20" s="63">
        <f>Taxonomy!AY18</f>
        <v>0</v>
      </c>
      <c r="I20" s="63" t="str">
        <f>Taxonomy!AZ18</f>
        <v>✗</v>
      </c>
      <c r="J20" s="63" t="str">
        <f>Taxonomy!BA18</f>
        <v>✗</v>
      </c>
      <c r="K20" s="63" t="str">
        <f>Taxonomy!BB18</f>
        <v>no</v>
      </c>
      <c r="L20" s="63" t="str">
        <f>Taxonomy!BC18</f>
        <v>✗</v>
      </c>
      <c r="M20" s="63">
        <f>Taxonomy!BD18</f>
        <v>0</v>
      </c>
      <c r="N20" s="63" t="str">
        <f>Taxonomy!BE18</f>
        <v>no</v>
      </c>
      <c r="O20" s="63">
        <f>Taxonomy!BF18</f>
        <v>0</v>
      </c>
      <c r="P20" s="63">
        <f>Taxonomy!BG18</f>
        <v>0</v>
      </c>
      <c r="Q20" s="63">
        <f>Taxonomy!BH18</f>
        <v>0</v>
      </c>
      <c r="R20" s="63" t="str">
        <f>Taxonomy!BI18</f>
        <v>no</v>
      </c>
      <c r="S20" s="63" t="str">
        <f>Taxonomy!BJ18</f>
        <v>no</v>
      </c>
      <c r="T20" s="63" t="str">
        <f>Taxonomy!BK18</f>
        <v>no</v>
      </c>
      <c r="U20" s="63" t="str">
        <f>Taxonomy!BL18</f>
        <v>Java</v>
      </c>
    </row>
    <row r="21" spans="2:21" ht="52" customHeight="1" x14ac:dyDescent="0.2">
      <c r="B21" s="66" t="s">
        <v>214</v>
      </c>
      <c r="D21" s="63">
        <f>Taxonomy!AU19</f>
        <v>0</v>
      </c>
      <c r="E21" s="63" t="str">
        <f>Taxonomy!AV19</f>
        <v xml:space="preserve">~10ms (code section)
~1s (thread)
</v>
      </c>
      <c r="F21" s="63">
        <f>Taxonomy!AW19</f>
        <v>0</v>
      </c>
      <c r="G21" s="63" t="str">
        <f>Taxonomy!AX19</f>
        <v>no</v>
      </c>
      <c r="H21" s="63">
        <f>Taxonomy!AY19</f>
        <v>0</v>
      </c>
      <c r="I21" s="63" t="str">
        <f>Taxonomy!AZ19</f>
        <v>✗</v>
      </c>
      <c r="J21" s="63" t="str">
        <f>Taxonomy!BA19</f>
        <v>✗</v>
      </c>
      <c r="K21" s="63" t="str">
        <f>Taxonomy!BB19</f>
        <v>✗</v>
      </c>
      <c r="L21" s="63" t="str">
        <f>Taxonomy!BC19</f>
        <v>✗</v>
      </c>
      <c r="M21" s="63" t="str">
        <f>Taxonomy!BD19</f>
        <v>✗(specific models)</v>
      </c>
      <c r="N21" s="63" t="str">
        <f>Taxonomy!BE19</f>
        <v>no</v>
      </c>
      <c r="O21" s="63" t="str">
        <f>Taxonomy!BF19</f>
        <v>✗</v>
      </c>
      <c r="P21" s="63" t="str">
        <f>Taxonomy!BG19</f>
        <v>✗</v>
      </c>
      <c r="Q21" s="63" t="str">
        <f>Taxonomy!BH19</f>
        <v>✗</v>
      </c>
      <c r="R21" s="63" t="str">
        <f>Taxonomy!BI19</f>
        <v>✗</v>
      </c>
      <c r="S21" s="63" t="str">
        <f>Taxonomy!BJ19</f>
        <v>✗</v>
      </c>
      <c r="T21" s="63" t="str">
        <f>Taxonomy!BK19</f>
        <v>no</v>
      </c>
      <c r="U21" s="63" t="str">
        <f>Taxonomy!BL19</f>
        <v>Java</v>
      </c>
    </row>
    <row r="22" spans="2:21" ht="45" customHeight="1" x14ac:dyDescent="0.2">
      <c r="B22" s="66" t="s">
        <v>187</v>
      </c>
      <c r="D22" s="63" t="str">
        <f>Taxonomy!AU20</f>
        <v>Qualitatively Reported in (Khan et al. 2015)</v>
      </c>
      <c r="E22" s="63" t="str">
        <f>Taxonomy!AV20</f>
        <v xml:space="preserve">~5ms sampling interval in (Khan et al. 2015) </v>
      </c>
      <c r="F22" s="63">
        <f>Taxonomy!AW20</f>
        <v>0</v>
      </c>
      <c r="G22" s="63" t="str">
        <f>Taxonomy!AX20</f>
        <v>no</v>
      </c>
      <c r="H22" s="63" t="str">
        <f>Taxonomy!AY20</f>
        <v>User Mode:
Queries RAPL through PAPI</v>
      </c>
      <c r="I22" s="63" t="str">
        <f>Taxonomy!AZ20</f>
        <v>✗</v>
      </c>
      <c r="J22" s="63" t="str">
        <f>Taxonomy!BA20</f>
        <v>✗</v>
      </c>
      <c r="K22" s="63" t="str">
        <f>Taxonomy!BB20</f>
        <v>no</v>
      </c>
      <c r="L22" s="63" t="str">
        <f>Taxonomy!BC20</f>
        <v>✗</v>
      </c>
      <c r="M22" s="63" t="str">
        <f>Taxonomy!BD20</f>
        <v>no</v>
      </c>
      <c r="N22" s="63" t="str">
        <f>Taxonomy!BE20</f>
        <v>no</v>
      </c>
      <c r="O22" s="63">
        <f>Taxonomy!BF20</f>
        <v>0</v>
      </c>
      <c r="P22" s="63">
        <f>Taxonomy!BG20</f>
        <v>0</v>
      </c>
      <c r="Q22" s="63">
        <f>Taxonomy!BH20</f>
        <v>0</v>
      </c>
      <c r="R22" s="63" t="str">
        <f>Taxonomy!BI20</f>
        <v>no</v>
      </c>
      <c r="S22" s="63" t="str">
        <f>Taxonomy!BJ20</f>
        <v>no</v>
      </c>
      <c r="T22" s="63" t="str">
        <f>Taxonomy!BK20</f>
        <v>no</v>
      </c>
      <c r="U22" s="63" t="str">
        <f>Taxonomy!BL20</f>
        <v>no</v>
      </c>
    </row>
    <row r="23" spans="2:21" ht="64" x14ac:dyDescent="0.2">
      <c r="B23" s="66" t="s">
        <v>38</v>
      </c>
      <c r="D23" s="63" t="str">
        <f>Taxonomy!AU21</f>
        <v>no</v>
      </c>
      <c r="E23" s="63" t="str">
        <f>Taxonomy!AV21</f>
        <v>~1ms</v>
      </c>
      <c r="F23" s="63" t="str">
        <f>Taxonomy!AW21</f>
        <v>no</v>
      </c>
      <c r="G23" s="63" t="str">
        <f>Taxonomy!AX21</f>
        <v>✗(Manual)</v>
      </c>
      <c r="H23" s="63" t="str">
        <f>Taxonomy!AY21</f>
        <v>"Run as Root
Installs RAPL Kernel Module"</v>
      </c>
      <c r="I23" s="63" t="str">
        <f>Taxonomy!AZ21</f>
        <v>✗</v>
      </c>
      <c r="J23" s="63" t="str">
        <f>Taxonomy!BA21</f>
        <v>✗</v>
      </c>
      <c r="K23" s="63" t="str">
        <f>Taxonomy!BB21</f>
        <v>no</v>
      </c>
      <c r="L23" s="63" t="str">
        <f>Taxonomy!BC21</f>
        <v>✗</v>
      </c>
      <c r="M23" s="63" t="str">
        <f>Taxonomy!BD21</f>
        <v>no</v>
      </c>
      <c r="N23" s="63" t="str">
        <f>Taxonomy!BE21</f>
        <v>no</v>
      </c>
      <c r="O23" s="63" t="str">
        <f>Taxonomy!BF21</f>
        <v>✗</v>
      </c>
      <c r="P23" s="63" t="str">
        <f>Taxonomy!BG21</f>
        <v>no</v>
      </c>
      <c r="Q23" s="63" t="str">
        <f>Taxonomy!BH21</f>
        <v>no</v>
      </c>
      <c r="R23" s="63" t="str">
        <f>Taxonomy!BI21</f>
        <v>no</v>
      </c>
      <c r="S23" s="63" t="str">
        <f>Taxonomy!BJ21</f>
        <v>no</v>
      </c>
      <c r="T23" s="63" t="str">
        <f>Taxonomy!BK21</f>
        <v>no</v>
      </c>
      <c r="U23" s="63" t="str">
        <f>Taxonomy!BL21</f>
        <v>Java</v>
      </c>
    </row>
  </sheetData>
  <mergeCells count="19">
    <mergeCell ref="H6:H8"/>
    <mergeCell ref="I6:U6"/>
    <mergeCell ref="I7:I8"/>
    <mergeCell ref="R7:R8"/>
    <mergeCell ref="S7:S8"/>
    <mergeCell ref="T7:T8"/>
    <mergeCell ref="U7:U8"/>
    <mergeCell ref="B5:B8"/>
    <mergeCell ref="J7:J8"/>
    <mergeCell ref="K7:K8"/>
    <mergeCell ref="L7:L8"/>
    <mergeCell ref="M7:M8"/>
    <mergeCell ref="N7:N8"/>
    <mergeCell ref="O7:Q7"/>
    <mergeCell ref="D5:U5"/>
    <mergeCell ref="D6:D8"/>
    <mergeCell ref="E6:E8"/>
    <mergeCell ref="F6:F8"/>
    <mergeCell ref="G6:G8"/>
  </mergeCells>
  <conditionalFormatting sqref="D10:U13 D15:U18 D20:U23">
    <cfRule type="containsBlanks" dxfId="5" priority="1" stopIfTrue="1">
      <formula>LEN(TRIM(D10))=0</formula>
    </cfRule>
    <cfRule type="beginsWith" dxfId="4" priority="2" stopIfTrue="1" operator="beginsWith" text="no">
      <formula>LEFT(D10,LEN("no"))="no"</formula>
    </cfRule>
    <cfRule type="notContainsBlanks" dxfId="3" priority="3">
      <formula>LEN(TRIM(D10))&gt;0</formula>
    </cfRule>
  </conditionalFormatting>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FFF63-2859-D541-BB08-FF0CAE1DC87C}">
  <dimension ref="B4:L22"/>
  <sheetViews>
    <sheetView zoomScale="68" workbookViewId="0">
      <selection activeCell="H21" sqref="H21"/>
    </sheetView>
  </sheetViews>
  <sheetFormatPr baseColWidth="10" defaultRowHeight="15" x14ac:dyDescent="0.2"/>
  <cols>
    <col min="3" max="3" width="3.6640625" customWidth="1"/>
    <col min="4" max="4" width="38" customWidth="1"/>
    <col min="5" max="5" width="13.33203125" customWidth="1"/>
    <col min="6" max="6" width="12" customWidth="1"/>
    <col min="7" max="7" width="24.1640625" customWidth="1"/>
    <col min="8" max="8" width="61.6640625" customWidth="1"/>
    <col min="9" max="9" width="32.83203125" customWidth="1"/>
  </cols>
  <sheetData>
    <row r="4" spans="2:12" x14ac:dyDescent="0.2">
      <c r="B4" s="219" t="s">
        <v>16</v>
      </c>
      <c r="D4" s="222" t="s">
        <v>10</v>
      </c>
      <c r="E4" s="223"/>
      <c r="F4" s="223"/>
      <c r="G4" s="223"/>
      <c r="H4" s="223"/>
      <c r="I4" s="223"/>
      <c r="J4" s="223"/>
      <c r="K4" s="223"/>
      <c r="L4" s="224"/>
    </row>
    <row r="5" spans="2:12" x14ac:dyDescent="0.2">
      <c r="B5" s="220"/>
      <c r="D5" s="218" t="s">
        <v>70</v>
      </c>
      <c r="E5" s="218" t="s">
        <v>75</v>
      </c>
      <c r="F5" s="218" t="s">
        <v>76</v>
      </c>
      <c r="G5" s="218" t="s">
        <v>77</v>
      </c>
      <c r="H5" s="218" t="s">
        <v>93</v>
      </c>
      <c r="I5" s="218" t="s">
        <v>78</v>
      </c>
      <c r="J5" s="218" t="s">
        <v>277</v>
      </c>
      <c r="K5" s="218"/>
      <c r="L5" s="218"/>
    </row>
    <row r="6" spans="2:12" x14ac:dyDescent="0.2">
      <c r="B6" s="220"/>
      <c r="D6" s="218"/>
      <c r="E6" s="218"/>
      <c r="F6" s="218"/>
      <c r="G6" s="218"/>
      <c r="H6" s="218"/>
      <c r="I6" s="218"/>
      <c r="J6" s="218" t="s">
        <v>83</v>
      </c>
      <c r="K6" s="218" t="s">
        <v>103</v>
      </c>
      <c r="L6" s="218" t="s">
        <v>57</v>
      </c>
    </row>
    <row r="7" spans="2:12" x14ac:dyDescent="0.2">
      <c r="B7" s="221"/>
      <c r="D7" s="218"/>
      <c r="E7" s="218"/>
      <c r="F7" s="218"/>
      <c r="G7" s="218"/>
      <c r="H7" s="218"/>
      <c r="I7" s="218"/>
      <c r="J7" s="218"/>
      <c r="K7" s="218"/>
      <c r="L7" s="218"/>
    </row>
    <row r="8" spans="2:12" x14ac:dyDescent="0.2">
      <c r="B8" s="54"/>
    </row>
    <row r="9" spans="2:12" ht="16" x14ac:dyDescent="0.2">
      <c r="B9" s="65" t="s">
        <v>28</v>
      </c>
      <c r="D9" s="67">
        <f>Taxonomy!BN7</f>
        <v>0</v>
      </c>
      <c r="E9" s="67">
        <f>Taxonomy!BO7</f>
        <v>0</v>
      </c>
      <c r="F9" s="67">
        <f>Taxonomy!BP7</f>
        <v>0</v>
      </c>
      <c r="G9" s="67">
        <f>Taxonomy!BQ7</f>
        <v>0</v>
      </c>
      <c r="H9" s="67">
        <f>Taxonomy!BR7</f>
        <v>0</v>
      </c>
      <c r="I9" s="67">
        <f>Taxonomy!BS7</f>
        <v>0</v>
      </c>
      <c r="J9" s="67" t="str">
        <f>Taxonomy!BT7</f>
        <v>no</v>
      </c>
      <c r="K9" s="67" t="str">
        <f>Taxonomy!BU7</f>
        <v>✗</v>
      </c>
      <c r="L9" s="67" t="str">
        <f>Taxonomy!BV7</f>
        <v>no</v>
      </c>
    </row>
    <row r="10" spans="2:12" ht="80" x14ac:dyDescent="0.2">
      <c r="B10" s="68" t="s">
        <v>313</v>
      </c>
      <c r="D10" s="67" t="str">
        <f>Taxonomy!BN8</f>
        <v>Runs as DaemonSet on each node
Linux-based nodes required</v>
      </c>
      <c r="E10" s="67" t="str">
        <f>Taxonomy!BO8</f>
        <v>Open-Source (CNCF Sandbox project)</v>
      </c>
      <c r="F10" s="67" t="str">
        <f>Taxonomy!BP8</f>
        <v>Active (Last Commit in March 2026)</v>
      </c>
      <c r="G10" s="67" t="str">
        <f>Taxonomy!BQ8</f>
        <v>Extensive Documentation
(https://sustainable-computing.io/)</v>
      </c>
      <c r="H10" s="67" t="str">
        <f>Taxonomy!BR8</f>
        <v>Centofanti, Carlo, José Santos, Venkateswarlu Gudepu, and Koteswararao Kondepu. 2024. ‘Impact of Power Consumption in Containerized Clouds: A Comprehensive Analysis of Open-Source Power Measurement Tools’. Computer Networks 245 (May): 110371. https://doi.org/10.1016/j.comnet.2024.110371.</v>
      </c>
      <c r="I10" s="67" t="str">
        <f>Taxonomy!BS8</f>
        <v>Designed for edge/cloud/
 K8s Operators</v>
      </c>
      <c r="J10" s="67" t="str">
        <f>Taxonomy!BT8</f>
        <v>no</v>
      </c>
      <c r="K10" s="67" t="str">
        <f>Taxonomy!BU8</f>
        <v>no</v>
      </c>
      <c r="L10" s="67" t="str">
        <f>Taxonomy!BV8</f>
        <v>no</v>
      </c>
    </row>
    <row r="11" spans="2:12" ht="80" x14ac:dyDescent="0.2">
      <c r="B11" s="68" t="s">
        <v>312</v>
      </c>
      <c r="D11" s="67" t="str">
        <f>Taxonomy!BN9</f>
        <v>Runs as DaemonSet on each node
Linux-based nodes required</v>
      </c>
      <c r="E11" s="67" t="str">
        <f>Taxonomy!BO9</f>
        <v>Open-Source (CNCF Sandbox project)</v>
      </c>
      <c r="F11" s="67" t="str">
        <f>Taxonomy!BP9</f>
        <v>Active (Last Commit in March 2026)</v>
      </c>
      <c r="G11" s="67" t="str">
        <f>Taxonomy!BQ9</f>
        <v>Extensive Documentation
(https://sustainable-computing.io/)</v>
      </c>
      <c r="H11" s="67" t="str">
        <f>Taxonomy!BR9</f>
        <v>Centofanti, Carlo, José Santos, Venkateswarlu Gudepu, and Koteswararao Kondepu. 2024. ‘Impact of Power Consumption in Containerized Clouds: A Comprehensive Analysis of Open-Source Power Measurement Tools’. Computer Networks 245 (May): 110371. https://doi.org/10.1016/j.comnet.2024.110371.</v>
      </c>
      <c r="I11" s="67" t="str">
        <f>Taxonomy!BS9</f>
        <v>Designed for edge/cloud/
 K8s Operators</v>
      </c>
      <c r="J11" s="67" t="str">
        <f>Taxonomy!BT9</f>
        <v>no</v>
      </c>
      <c r="K11" s="67" t="str">
        <f>Taxonomy!BU9</f>
        <v>no</v>
      </c>
      <c r="L11" s="67" t="str">
        <f>Taxonomy!BV9</f>
        <v>no</v>
      </c>
    </row>
    <row r="12" spans="2:12" ht="128" x14ac:dyDescent="0.2">
      <c r="B12" s="69" t="s">
        <v>23</v>
      </c>
      <c r="D12" s="67" t="str">
        <f>Taxonomy!BN10</f>
        <v>Python App +
Redis DB +
Web-based API &amp; Front-end for data analysis
Hosted Service (paid)</v>
      </c>
      <c r="E12" s="67" t="str">
        <f>Taxonomy!BO10</f>
        <v>Open-Source</v>
      </c>
      <c r="F12" s="67" t="str">
        <f>Taxonomy!BP10</f>
        <v>Active (Last Commit in Feb 2026)</v>
      </c>
      <c r="G12" s="67" t="str">
        <f>Taxonomy!BQ10</f>
        <v>Extensive Documentation
(https://docs.green-coding.io/)</v>
      </c>
      <c r="H12" s="67" t="str">
        <f>Taxonomy!BR10</f>
        <v>Hoffmann, Geerd-Dietger, and Verena Majuntke. 2025. ‘Green Metrics Tool: Measuring for Fun and Profit’. arXiv:2506.23967. Preprint, arXiv, June 30. https://doi.org/10.48550/arXiv.2506.23967.
Kayembe, Jason, Iness Ben Guirat, and Jan Tobias Mühlberg. 2025. ‘Exploring Privacy and Security as Drivers for Environmental Sustainability in Cloud-Based Office Solutions’. arXiv:2506.23866. Preprint, arXiv, July 4. https://doi.org/10.48550/arXiv.2506.23866.</v>
      </c>
      <c r="I12" s="67" t="str">
        <f>Taxonomy!BS10</f>
        <v>Designed for developers to integrate SCI in dev
Used in a few academic researches</v>
      </c>
      <c r="J12" s="67" t="str">
        <f>Taxonomy!BT10</f>
        <v>✗</v>
      </c>
      <c r="K12" s="67" t="str">
        <f>Taxonomy!BU10</f>
        <v>✗</v>
      </c>
      <c r="L12" s="67" t="str">
        <f>Taxonomy!BV10</f>
        <v>✗</v>
      </c>
    </row>
    <row r="13" spans="2:12" x14ac:dyDescent="0.2">
      <c r="B13" s="54"/>
      <c r="D13" s="49"/>
      <c r="E13" s="49"/>
      <c r="F13" s="49"/>
      <c r="G13" s="49"/>
      <c r="H13" s="49"/>
      <c r="I13" s="49"/>
      <c r="J13" s="49"/>
      <c r="K13" s="49"/>
      <c r="L13" s="49"/>
    </row>
    <row r="14" spans="2:12" ht="32" x14ac:dyDescent="0.2">
      <c r="B14" s="65" t="s">
        <v>256</v>
      </c>
      <c r="D14" s="67">
        <f>Taxonomy!BN13</f>
        <v>0</v>
      </c>
      <c r="E14" s="67" t="str">
        <f>Taxonomy!BO13</f>
        <v>Open-Source</v>
      </c>
      <c r="F14" s="67">
        <f>Taxonomy!BP13</f>
        <v>0</v>
      </c>
      <c r="G14" s="67">
        <f>Taxonomy!BQ13</f>
        <v>0</v>
      </c>
      <c r="H14" s="67">
        <f>Taxonomy!BR13</f>
        <v>0</v>
      </c>
      <c r="I14" s="67">
        <f>Taxonomy!BS13</f>
        <v>0</v>
      </c>
      <c r="J14" s="67" t="str">
        <f>Taxonomy!BT13</f>
        <v>✗</v>
      </c>
      <c r="K14" s="67" t="str">
        <f>Taxonomy!BU13</f>
        <v>no</v>
      </c>
      <c r="L14" s="67" t="str">
        <f>Taxonomy!BV13</f>
        <v>no</v>
      </c>
    </row>
    <row r="15" spans="2:12" ht="16" x14ac:dyDescent="0.2">
      <c r="B15" s="69" t="s">
        <v>40</v>
      </c>
      <c r="D15" s="67">
        <f>Taxonomy!BN14</f>
        <v>0</v>
      </c>
      <c r="E15" s="67" t="str">
        <f>Taxonomy!BO14</f>
        <v>Open-Source</v>
      </c>
      <c r="F15" s="67">
        <f>Taxonomy!BP14</f>
        <v>0</v>
      </c>
      <c r="G15" s="67">
        <f>Taxonomy!BQ14</f>
        <v>0</v>
      </c>
      <c r="H15" s="67">
        <f>Taxonomy!BR14</f>
        <v>0</v>
      </c>
      <c r="I15" s="67">
        <f>Taxonomy!BS14</f>
        <v>0</v>
      </c>
      <c r="J15" s="67" t="str">
        <f>Taxonomy!BT14</f>
        <v>✗</v>
      </c>
      <c r="K15" s="67" t="str">
        <f>Taxonomy!BU14</f>
        <v>no</v>
      </c>
      <c r="L15" s="67" t="str">
        <f>Taxonomy!BV14</f>
        <v>no</v>
      </c>
    </row>
    <row r="16" spans="2:12" ht="96" x14ac:dyDescent="0.2">
      <c r="B16" s="69" t="s">
        <v>44</v>
      </c>
      <c r="D16" s="67" t="str">
        <f>Taxonomy!BN15</f>
        <v>Command line tool, export to csv</v>
      </c>
      <c r="E16" s="67" t="str">
        <f>Taxonomy!BO15</f>
        <v>Open-Source</v>
      </c>
      <c r="F16" s="67" t="str">
        <f>Taxonomy!BP15</f>
        <v>Active (Last Commit in 2026)</v>
      </c>
      <c r="G16" s="67" t="str">
        <f>Taxonomy!BQ15</f>
        <v>Concice documentation : https://joular.github.io/powerjoular/overview.html</v>
      </c>
      <c r="H16" s="67" t="str">
        <f>Taxonomy!BR15</f>
        <v>Noureddine, Adel. (2021) 2022. ‘PowerJoular and JoularJX: Multi-Platform Software Power Monitoring Tools’. In Proceedings of the 18th International Conference on Intelligent Environments, Ada. Intelligent Environments. March 22; IEEE, released. https://doi.org/10.1109/IE54923.2022.9826760.</v>
      </c>
      <c r="I16" s="67" t="str">
        <f>Taxonomy!BS15</f>
        <v>Power Core is aimed to software developers, system administrators and to automated tools, with a goal to help these users understand the power consumption of their devices and software (Noureddine [2021] 2022)</v>
      </c>
      <c r="J16" s="67" t="str">
        <f>Taxonomy!BT15</f>
        <v>no</v>
      </c>
      <c r="K16" s="67" t="str">
        <f>Taxonomy!BU15</f>
        <v>no</v>
      </c>
      <c r="L16" s="67" t="str">
        <f>Taxonomy!BV15</f>
        <v>no</v>
      </c>
    </row>
    <row r="17" spans="2:12" ht="96" x14ac:dyDescent="0.2">
      <c r="B17" s="69" t="s">
        <v>206</v>
      </c>
      <c r="D17" s="67" t="str">
        <f>Taxonomy!BN16</f>
        <v>Command line tool or Gui</v>
      </c>
      <c r="E17" s="67" t="str">
        <f>Taxonomy!BO16</f>
        <v>Open-Source</v>
      </c>
      <c r="F17" s="67" t="str">
        <f>Taxonomy!BP16</f>
        <v>Active (Last Commit 2026)</v>
      </c>
      <c r="G17" s="67" t="str">
        <f>Taxonomy!BQ16</f>
        <v>Concice documentation : https://joular.github.io/joularcore/</v>
      </c>
      <c r="H17" s="67">
        <f>Taxonomy!BR16</f>
        <v>0</v>
      </c>
      <c r="I17" s="67" t="str">
        <f>Taxonomy!BS16</f>
        <v>Power Core is aimed to software developers, system administrators and to automated tools, with a goal to help these users understand the power consumption of their devices and software (Noureddine [2021] 2022)</v>
      </c>
      <c r="J17" s="67" t="str">
        <f>Taxonomy!BT16</f>
        <v>no</v>
      </c>
      <c r="K17" s="67" t="str">
        <f>Taxonomy!BU16</f>
        <v>no</v>
      </c>
      <c r="L17" s="67" t="str">
        <f>Taxonomy!BV16</f>
        <v>no</v>
      </c>
    </row>
    <row r="18" spans="2:12" x14ac:dyDescent="0.2">
      <c r="B18" s="54"/>
      <c r="D18" s="49"/>
      <c r="E18" s="49"/>
      <c r="F18" s="49"/>
      <c r="G18" s="49"/>
      <c r="H18" s="49"/>
      <c r="I18" s="49"/>
      <c r="J18" s="49"/>
      <c r="K18" s="49"/>
      <c r="L18" s="49"/>
    </row>
    <row r="19" spans="2:12" ht="32" x14ac:dyDescent="0.2">
      <c r="B19" s="66" t="s">
        <v>257</v>
      </c>
      <c r="D19" s="67">
        <f>Taxonomy!BN18</f>
        <v>0</v>
      </c>
      <c r="E19" s="67" t="str">
        <f>Taxonomy!BO18</f>
        <v>Open-Source</v>
      </c>
      <c r="F19" s="67">
        <f>Taxonomy!BP18</f>
        <v>0</v>
      </c>
      <c r="G19" s="67">
        <f>Taxonomy!BQ18</f>
        <v>0</v>
      </c>
      <c r="H19" s="67">
        <f>Taxonomy!BR18</f>
        <v>0</v>
      </c>
      <c r="I19" s="67">
        <f>Taxonomy!BS18</f>
        <v>0</v>
      </c>
      <c r="J19" s="67" t="str">
        <f>Taxonomy!BT18</f>
        <v>✗</v>
      </c>
      <c r="K19" s="67" t="str">
        <f>Taxonomy!BU18</f>
        <v>no</v>
      </c>
      <c r="L19" s="67" t="str">
        <f>Taxonomy!BV18</f>
        <v>no</v>
      </c>
    </row>
    <row r="20" spans="2:12" ht="48" x14ac:dyDescent="0.2">
      <c r="B20" s="68" t="s">
        <v>214</v>
      </c>
      <c r="D20" s="67" t="str">
        <f>Taxonomy!BN19</f>
        <v>Command line tool, export to csv</v>
      </c>
      <c r="E20" s="67" t="str">
        <f>Taxonomy!BO19</f>
        <v>Open-Source</v>
      </c>
      <c r="F20" s="67" t="str">
        <f>Taxonomy!BP19</f>
        <v>Active (Last Commit in 2026)</v>
      </c>
      <c r="G20" s="67" t="str">
        <f>Taxonomy!BQ19</f>
        <v>Concice documentation : https://joular.github.io/powerjoular/overview.html</v>
      </c>
      <c r="H20" s="67">
        <f>Taxonomy!BR19</f>
        <v>0</v>
      </c>
      <c r="I20" s="67" t="str">
        <f>Taxonomy!BS19</f>
        <v>Designed for software Developements</v>
      </c>
      <c r="J20" s="67" t="str">
        <f>Taxonomy!BT19</f>
        <v>no</v>
      </c>
      <c r="K20" s="67" t="str">
        <f>Taxonomy!BU19</f>
        <v>no</v>
      </c>
      <c r="L20" s="67" t="str">
        <f>Taxonomy!BV19</f>
        <v>no</v>
      </c>
    </row>
    <row r="21" spans="2:12" ht="64" x14ac:dyDescent="0.2">
      <c r="B21" s="68" t="s">
        <v>187</v>
      </c>
      <c r="D21" s="67" t="str">
        <f>Taxonomy!BN20</f>
        <v>Runs as an attached library to the profiled process</v>
      </c>
      <c r="E21" s="67" t="str">
        <f>Taxonomy!BO20</f>
        <v>Open-Source</v>
      </c>
      <c r="F21" s="67" t="str">
        <f>Taxonomy!BP20</f>
        <v>Not maintained since 2024</v>
      </c>
      <c r="G21" s="67" t="str">
        <f>Taxonomy!BQ20</f>
        <v>Limited to not existing for the energy module
(https://igprof.org/index.html)</v>
      </c>
      <c r="H21" s="67" t="str">
        <f>Taxonomy!BR20</f>
        <v>Khan, Kashif, Filip Nybäck, Zhonghong Ou, et al. 2015. Energy Profiling Using IgProf. In Proceedings - 2015 IEEE/ACM 15th International Symposium on Cluster, Cloud, and Grid Computing, CCGrid 2015. https://doi.org/10.1109/CCGrid.2015.118.</v>
      </c>
      <c r="I21" s="67">
        <f>Taxonomy!BS20</f>
        <v>0</v>
      </c>
      <c r="J21" s="67" t="str">
        <f>Taxonomy!BT20</f>
        <v>no</v>
      </c>
      <c r="K21" s="67" t="str">
        <f>Taxonomy!BU20</f>
        <v>no</v>
      </c>
      <c r="L21" s="67" t="str">
        <f>Taxonomy!BV20</f>
        <v>no</v>
      </c>
    </row>
    <row r="22" spans="2:12" ht="80" customHeight="1" x14ac:dyDescent="0.2">
      <c r="B22" s="68" t="s">
        <v>38</v>
      </c>
      <c r="D22" s="67" t="str">
        <f>Taxonomy!BN21</f>
        <v xml:space="preserve">Java Library to load from  any Java source code. Developer just needs to put API calls (statCheck) before and after a code block. The energy consumption is  the difference between the two readings </v>
      </c>
      <c r="E22" s="67" t="str">
        <f>Taxonomy!BO21</f>
        <v>Open-Source</v>
      </c>
      <c r="F22" s="67" t="str">
        <f>Taxonomy!BP21</f>
        <v>Not maintained since 2018</v>
      </c>
      <c r="G22" s="67" t="str">
        <f>Taxonomy!BQ21</f>
        <v>Limited</v>
      </c>
      <c r="H22" s="67" t="str">
        <f>Taxonomy!BR21</f>
        <v>Liu, Kenan, Gustavo Pinto, and Yu David Liu. 2015. ‘Data-Oriented Characterization of Application-Level Energy Optimization’. In Fundamental Approaches to Software Engineering, edited by Alexander Egyed and Ina Schaefer. Springer. https://doi.org/10.1007/978-3-662-46675-9_21.</v>
      </c>
      <c r="I22" s="67" t="str">
        <f>Taxonomy!BS21</f>
        <v>Designed for software Developements</v>
      </c>
      <c r="J22" s="67" t="str">
        <f>Taxonomy!BT21</f>
        <v>no</v>
      </c>
      <c r="K22" s="67" t="str">
        <f>Taxonomy!BU21</f>
        <v>no</v>
      </c>
      <c r="L22" s="67" t="str">
        <f>Taxonomy!BV21</f>
        <v>no</v>
      </c>
    </row>
  </sheetData>
  <mergeCells count="12">
    <mergeCell ref="K6:K7"/>
    <mergeCell ref="L6:L7"/>
    <mergeCell ref="B4:B7"/>
    <mergeCell ref="D4:L4"/>
    <mergeCell ref="D5:D7"/>
    <mergeCell ref="E5:E7"/>
    <mergeCell ref="F5:F7"/>
    <mergeCell ref="G5:G7"/>
    <mergeCell ref="H5:H7"/>
    <mergeCell ref="I5:I7"/>
    <mergeCell ref="J5:L5"/>
    <mergeCell ref="J6:J7"/>
  </mergeCells>
  <conditionalFormatting sqref="D9:L12 D14:L17 D19:L22">
    <cfRule type="beginsWith" dxfId="2" priority="3" stopIfTrue="1" operator="beginsWith" text="no">
      <formula>LEFT(D9,LEN("no"))="no"</formula>
    </cfRule>
    <cfRule type="containsBlanks" dxfId="1" priority="4" stopIfTrue="1">
      <formula>LEN(TRIM(D9))=0</formula>
    </cfRule>
    <cfRule type="notContainsBlanks" dxfId="0" priority="5">
      <formula>LEN(TRIM(D9))&gt;0</formula>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Tools</vt:lpstr>
      <vt:lpstr>Inclusion Exclusion</vt:lpstr>
      <vt:lpstr>Classification</vt:lpstr>
      <vt:lpstr>Taxonomy</vt:lpstr>
      <vt:lpstr>Design Space</vt:lpstr>
      <vt:lpstr>Design Space - Vertical</vt:lpstr>
      <vt:lpstr>Operational Constraint</vt:lpstr>
      <vt:lpstr>Maturity and Ecosystem</vt:lpstr>
      <vt:lpstr>'Design Space'!Print_Area</vt:lpstr>
      <vt:lpstr>'Design Space - Vertical'!Print_Area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Jason Kayembe</cp:lastModifiedBy>
  <cp:lastPrinted>2026-09-10T21:29:50Z</cp:lastPrinted>
  <dcterms:created xsi:type="dcterms:W3CDTF">2026-02-10T12:07:11Z</dcterms:created>
  <dcterms:modified xsi:type="dcterms:W3CDTF">2026-09-23T12:09:58Z</dcterms:modified>
</cp:coreProperties>
</file>